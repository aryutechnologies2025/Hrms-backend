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 Financial Protocol" sheetId="1" r:id="rId4"/>
    <sheet state="visible" name="I &amp; E" sheetId="2" r:id="rId5"/>
    <sheet state="visible" name="Workings" sheetId="3" r:id="rId6"/>
    <sheet state="visible" name="04-25" sheetId="4" r:id="rId7"/>
    <sheet state="visible" name="April" sheetId="5" r:id="rId8"/>
    <sheet state="visible" name="05-25" sheetId="6" r:id="rId9"/>
    <sheet state="visible" name="May" sheetId="7" r:id="rId10"/>
    <sheet state="visible" name="06-25" sheetId="8" r:id="rId11"/>
    <sheet state="visible" name="June" sheetId="9" r:id="rId12"/>
    <sheet state="visible" name="07-25" sheetId="10" r:id="rId13"/>
    <sheet state="visible" name="July" sheetId="11" r:id="rId14"/>
    <sheet state="visible" name="08-25" sheetId="12" r:id="rId15"/>
    <sheet state="visible" name="Aug" sheetId="13" r:id="rId16"/>
    <sheet state="visible" name="09-25" sheetId="14" r:id="rId17"/>
    <sheet state="visible" name="Sep" sheetId="15" r:id="rId18"/>
    <sheet state="visible" name="10-25" sheetId="16" r:id="rId19"/>
    <sheet state="visible" name="Oct" sheetId="17" r:id="rId20"/>
  </sheets>
  <definedNames/>
  <calcPr/>
  <pivotCaches>
    <pivotCache cacheId="0" r:id="rId21"/>
    <pivotCache cacheId="1" r:id="rId22"/>
    <pivotCache cacheId="2" r:id="rId23"/>
    <pivotCache cacheId="3" r:id="rId24"/>
    <pivotCache cacheId="4" r:id="rId25"/>
    <pivotCache cacheId="5" r:id="rId26"/>
  </pivotCaches>
  <extLst>
    <ext uri="GoogleSheetsCustomDataVersion2">
      <go:sheetsCustomData xmlns:go="http://customooxmlschemas.google.com/" r:id="rId27" roundtripDataChecksum="FYUBfIVZ+P0fEVRfQDDzL4AfWv5fMRXU+Qul3iPxTZ8="/>
    </ext>
  </extLst>
</workbook>
</file>

<file path=xl/sharedStrings.xml><?xml version="1.0" encoding="utf-8"?>
<sst xmlns="http://schemas.openxmlformats.org/spreadsheetml/2006/main" count="3560" uniqueCount="823">
  <si>
    <t>🔹 Golden Financial Rules for Aryu Enterprises</t>
  </si>
  <si>
    <t>1. 💰 “Profit is not what you earn, it’s what you keep.” — Always monitor net profit.</t>
  </si>
  <si>
    <t>2. 🧮 Never let expenses exceed 50% of your revenue.</t>
  </si>
  <si>
    <t>3. 🏦 Keep minimum 3 months’ operating cost as backup.</t>
  </si>
  <si>
    <t>CLEARINGS</t>
  </si>
  <si>
    <t>UNKNOWN TRANSACTIONS</t>
  </si>
  <si>
    <t>4. 📊 Use software (Tally / Excel / Zoho Books) for transparency.</t>
  </si>
  <si>
    <t>DRAWINGS</t>
  </si>
  <si>
    <t>PERSONAL PURPOSE TRANSACTION</t>
  </si>
  <si>
    <t>5. 💼 Pay yourself (directors) a fixed salary, not random withdrawals.</t>
  </si>
  <si>
    <t>CASH</t>
  </si>
  <si>
    <t>ATM CASH WITHDRAWL</t>
  </si>
  <si>
    <t>6. 📈 Track ROI (Return on Investment) for every new purchase.</t>
  </si>
  <si>
    <t>PREPAID ASSETS</t>
  </si>
  <si>
    <t>GST PAID AMOUNT IN ADVANCE</t>
  </si>
  <si>
    <t>7. 🚫 Avoid mixing personal &amp; company bank accounts.</t>
  </si>
  <si>
    <t>8. 🔒 File GST, TDS, and income tax on time to avoid penalties.</t>
  </si>
  <si>
    <t>Budget Maintenance Rules</t>
  </si>
  <si>
    <t>Category</t>
  </si>
  <si>
    <t>Rule</t>
  </si>
  <si>
    <t>Example</t>
  </si>
  <si>
    <t>Budget Planning</t>
  </si>
  <si>
    <t>Plan yearly budget at start of FY (April)</t>
  </si>
  <si>
    <t>Set a total estimated revenue and expense ceiling</t>
  </si>
  <si>
    <t>Expense Control</t>
  </si>
  <si>
    <t>Never exceed 50% of total revenue for fixed &amp; variable costs</t>
  </si>
  <si>
    <t>Avoid unnecessary subscriptions, extra staff, etc.</t>
  </si>
  <si>
    <t>Reserve Fund</t>
  </si>
  <si>
    <t>Maintain 3–6 months of expenses as backup in bank</t>
  </si>
  <si>
    <t>Helps during slow months</t>
  </si>
  <si>
    <t>Reinvest Profits</t>
  </si>
  <si>
    <t>Reinvest at least 30–40% of yearly profit into growth</t>
  </si>
  <si>
    <t>Marketing, equipment, R&amp;D</t>
  </si>
  <si>
    <t>Debt Policy</t>
  </si>
  <si>
    <t>Keep debt-to-income ratio below 25%</t>
  </si>
  <si>
    <t>Manage loans carefully</t>
  </si>
  <si>
    <t>Monthly Review</t>
  </si>
  <si>
    <t>Conduct 1 financial review meeting every month</t>
  </si>
  <si>
    <t>To check income-expense ratio &amp; savings progress</t>
  </si>
  <si>
    <t>Savings &amp; Investments Strategy</t>
  </si>
  <si>
    <t>Type</t>
  </si>
  <si>
    <t>% of Profit</t>
  </si>
  <si>
    <t>Purpose</t>
  </si>
  <si>
    <t>Emergency Fund</t>
  </si>
  <si>
    <t>20–30%</t>
  </si>
  <si>
    <t>For unexpected business loss or downtime</t>
  </si>
  <si>
    <t>Business Reinvestment</t>
  </si>
  <si>
    <t>30–40%</t>
  </si>
  <si>
    <t>For equipment, expansion, or technology upgrades</t>
  </si>
  <si>
    <t>Long-Term Investments</t>
  </si>
  <si>
    <t>FD, mutual funds, or government bonds</t>
  </si>
  <si>
    <t>Owner’s Reserve</t>
  </si>
  <si>
    <t>10–20%</t>
  </si>
  <si>
    <t>Profit draw for directors/shareholders</t>
  </si>
  <si>
    <t>Budget and Utilization of Funds</t>
  </si>
  <si>
    <t>% of Turnover</t>
  </si>
  <si>
    <t>Amount (₹)</t>
  </si>
  <si>
    <t>Notes</t>
  </si>
  <si>
    <t>Turnover</t>
  </si>
  <si>
    <t>4,54,104</t>
  </si>
  <si>
    <t>What actually earns</t>
  </si>
  <si>
    <t>Expenses</t>
  </si>
  <si>
    <t>2,04,347</t>
  </si>
  <si>
    <t>Salaries, rent, utilities, marketing, office expenses Pay yourself (directors) a fixed salary</t>
  </si>
  <si>
    <t>Net Profit</t>
  </si>
  <si>
    <t>After all expenses, your retained profit</t>
  </si>
  <si>
    <t>Liabilities / Loan Repayment</t>
  </si>
  <si>
    <t>EMIs, credit repayment, interest payments</t>
  </si>
  <si>
    <t>Asset Purchases / Capital Expenditure</t>
  </si>
  <si>
    <t>R&amp;D Business Reinvestment / Computers, Advertisements, software, servers / Buildings Renovation</t>
  </si>
  <si>
    <t>Savings / Investments</t>
  </si>
  <si>
    <t>For unexpected business loss or downtime / Emergency fund, mutual funds, fixed deposits Maintain 3–6 months of expenses as backup in bank</t>
  </si>
  <si>
    <t>INCOME AND EXPENDITURE FY 2025-26</t>
  </si>
  <si>
    <t>Monthly I&amp; E</t>
  </si>
  <si>
    <t>EXPENSES</t>
  </si>
  <si>
    <t>INCOME</t>
  </si>
  <si>
    <t>Particulars</t>
  </si>
  <si>
    <t>Debit</t>
  </si>
  <si>
    <t>Date</t>
  </si>
  <si>
    <t>Credit</t>
  </si>
  <si>
    <t>Loss</t>
  </si>
  <si>
    <t>Administraion Expenses</t>
  </si>
  <si>
    <t>CMG Project</t>
  </si>
  <si>
    <t>Director Salary</t>
  </si>
  <si>
    <t>UPWORK Yuvaraj</t>
  </si>
  <si>
    <t>Electricity Charges</t>
  </si>
  <si>
    <t>Employee Provident Fund Expenses</t>
  </si>
  <si>
    <t>Employee Welfare Expenses</t>
  </si>
  <si>
    <t>Internet Charges</t>
  </si>
  <si>
    <t>Marketing and Advertisement Expenditure</t>
  </si>
  <si>
    <t>Office Expenses</t>
  </si>
  <si>
    <t>Office Rent &amp; Maintenance</t>
  </si>
  <si>
    <t>Prepaid Asset (Current Assets)</t>
  </si>
  <si>
    <t>Proffessional Tax</t>
  </si>
  <si>
    <t>Recruiting Expenses</t>
  </si>
  <si>
    <t>Repairs &amp; Maintenance</t>
  </si>
  <si>
    <t>Salary</t>
  </si>
  <si>
    <t>Software Subscription</t>
  </si>
  <si>
    <t>Stipend</t>
  </si>
  <si>
    <t>TDS CHALLAN PAID</t>
  </si>
  <si>
    <t>Telephone Expenditure</t>
  </si>
  <si>
    <t>Grand Total</t>
  </si>
  <si>
    <t>Audit Fees</t>
  </si>
  <si>
    <t>Miscellaneous Income</t>
  </si>
  <si>
    <t>Bank Charges</t>
  </si>
  <si>
    <t>Suspense Income</t>
  </si>
  <si>
    <t>Equipment Rental Expenses</t>
  </si>
  <si>
    <t>RECRUITMENT EXPENSES</t>
  </si>
  <si>
    <t>Travel &amp; Accomodation</t>
  </si>
  <si>
    <t>Upwork Aruna</t>
  </si>
  <si>
    <t>Upwork Yuvaraj</t>
  </si>
  <si>
    <t>Commission paid</t>
  </si>
  <si>
    <t>Innerpece</t>
  </si>
  <si>
    <t>Delta Edu Care</t>
  </si>
  <si>
    <t>Incentive</t>
  </si>
  <si>
    <t>Profit</t>
  </si>
  <si>
    <t>MEDICS RESEARCH</t>
  </si>
  <si>
    <t>OCCD PRIVATE LIMITED</t>
  </si>
  <si>
    <t>Clearings</t>
  </si>
  <si>
    <t>FARIDA SHOES Pvt ltd</t>
  </si>
  <si>
    <t>Secured Loan</t>
  </si>
  <si>
    <t>self Assessment Tax</t>
  </si>
  <si>
    <t>Cash</t>
  </si>
  <si>
    <t>Drawings</t>
  </si>
  <si>
    <t>Employee State Insurance Scheme</t>
  </si>
  <si>
    <t>Postage &amp; Courier</t>
  </si>
  <si>
    <t>CMG - Wise payemnt</t>
  </si>
  <si>
    <t>Medics Website Maintenance</t>
  </si>
  <si>
    <t>PSSAGENCIES</t>
  </si>
  <si>
    <t>FARIDA Shoes Pvt Ltd</t>
  </si>
  <si>
    <t>Total Expenses</t>
  </si>
  <si>
    <t>Total Income</t>
  </si>
  <si>
    <t>Total Income as per GST</t>
  </si>
  <si>
    <t>Total Expenses as per ITR</t>
  </si>
  <si>
    <t>Profit / Loss</t>
  </si>
  <si>
    <t>Note</t>
  </si>
  <si>
    <t>Loan, Drawings &amp; Assets these are considered balance sheet its not reflect P&amp;L so i doesnt show in this sheet</t>
  </si>
  <si>
    <t>Clearing</t>
  </si>
  <si>
    <t>Narration</t>
  </si>
  <si>
    <t>Ledger</t>
  </si>
  <si>
    <t>Reason</t>
  </si>
  <si>
    <t>Withdrawal Amt.</t>
  </si>
  <si>
    <t>Deposit Amt.</t>
  </si>
  <si>
    <t>Closing Balance</t>
  </si>
  <si>
    <t>Difference</t>
  </si>
  <si>
    <t>IMPS-509118085857-ARYU ENTERPRISES PRIVATE LIMITED-INDB-XXXXXXXX5106-P2AMOB</t>
  </si>
  <si>
    <t>HDFC Bk Ac No - 50200064135746 from Indus Bk Ac No - 259994715106</t>
  </si>
  <si>
    <t>Self Transfer</t>
  </si>
  <si>
    <t>UPI-GOOGLE INDIA DIGITAL-GPAYRECHARGE@OKPAYAXIS-UTIB0000553-102509449935-UPI</t>
  </si>
  <si>
    <t>Mobile Recharge</t>
  </si>
  <si>
    <t>UPI-TANGEDCO-TANGEDCO@INDIANBK-IDIB000A089-102513589637-TANGEDCO PORTAL QR</t>
  </si>
  <si>
    <t>EB Payment</t>
  </si>
  <si>
    <t>UPI-AIRTEL PAYMENTS BANK-AIRTELPAYMENTSBANKLIMI-8027499.PAYU@INDUS-INDB0MERCHA-100100465456-UPI TRANSACTION</t>
  </si>
  <si>
    <t>Expense for internet connectivity - AIRTEL</t>
  </si>
  <si>
    <t>UPI-MURUGAN M-MUNIAPPANMUNIAPPAN297-1@OKSBI-PUNB0792400-102545020923-TEA PAYMENT</t>
  </si>
  <si>
    <t>Cost of refreshments (Tea and Snacks) for staff</t>
  </si>
  <si>
    <t>UPI-GOOGLE INDIA SERVICE-GPAYRECHARGE@ICICI-ICIC0DC0099-102568167426-UPI</t>
  </si>
  <si>
    <t>UPI-NAUKRI CS INR-NAUKRICSINR-29961.PAYU@INDUS-INDB0MERCHA-100101452409-UPI TRANSACTION</t>
  </si>
  <si>
    <t>Recruitment Expenses on Naukri portal</t>
  </si>
  <si>
    <t>MULTIPLE-SALARY-YUVA-SAL.TXT</t>
  </si>
  <si>
    <t>Yuvaraj</t>
  </si>
  <si>
    <t>NEFT DR-IDIB000A132-CAROLINE JOSHVA-NETBANK, MUM-HDFCN52025040561725624-RENT MAINTENANCE</t>
  </si>
  <si>
    <t>Rent for office -CAROLINE JOSHVA</t>
  </si>
  <si>
    <t>UPI-CBDT-CBDT.PAYU@HDFCBANK-HDFC0MERUPI-100316300206-UPI TRANSACTION</t>
  </si>
  <si>
    <t>194</t>
  </si>
  <si>
    <t>QG9GWQWPBA2OCC/GOOGLEADS</t>
  </si>
  <si>
    <t>G-suit from Google office purpose</t>
  </si>
  <si>
    <t>UPI-MURUGAN M-MUNIAPPANMUNIAPPAN297-1@OKSBI-PUNB0792400-102774347830-TEA PAYMENT</t>
  </si>
  <si>
    <t>UPI-TAMILARASAN M-TAMILARUN223@OKSBI-CNRB0000033-102891535241-ACADEMY CERTIFICAT</t>
  </si>
  <si>
    <t>Printing Certificates for Academy</t>
  </si>
  <si>
    <t>UPI-MR PRADEEP GUNASEKAR-PRADEEPGUNASEKARAN17-2@OKICICI-IDIB000S026-102936344787-UPI</t>
  </si>
  <si>
    <t>Cost of cake for employee birthday celebrations</t>
  </si>
  <si>
    <t>NEFT CR-DEUT0784BBY-DEUTSCHE BANK LONDON-YUVARAJ T-DEUTN52025041101001839</t>
  </si>
  <si>
    <t>Sales</t>
  </si>
  <si>
    <t>MULTIPLE-SALARY-APRIL-25.TXT</t>
  </si>
  <si>
    <t>Multiple Employees</t>
  </si>
  <si>
    <t>UPI-MS KALAISELVI  K-KANNANSELVI130@OKICICI-CIUB0000467-102969269937-MARCH 2025 STIPEND</t>
  </si>
  <si>
    <t>Kaasni</t>
  </si>
  <si>
    <t>UPI-BHARATHWAJ S-BHARATHWAJB599@OKSBI-HDFC0001254-102969296476-MARCH 2025 STIPEND</t>
  </si>
  <si>
    <t>Bharathwaj S</t>
  </si>
  <si>
    <t>UPI-VENU D-DVENU6383@OKICICI-BKID0008260-102969325946-MARCH 2025 STIPEND</t>
  </si>
  <si>
    <t>Venu D</t>
  </si>
  <si>
    <t>UPI-MR IYYAPPAN A-IYYAPPANMECH678@OKSBI-IDIB000A088-102971671037-MARCH 2025 STIPEND</t>
  </si>
  <si>
    <t>Iyyappan A</t>
  </si>
  <si>
    <t>UPI-MR IYYAPPAN A-IYYAPPANMECH678@OKSBI-IDIB000A088-102971691693-MARCH 2025 STIPEND</t>
  </si>
  <si>
    <t>UPI-MRS BHUVANESWARI PAT-DRBHUBHU587@OKHDFCBANK-IDIB000M132-102974884338-MARCH 2025 STIPEND</t>
  </si>
  <si>
    <t>Bhuvaneswari</t>
  </si>
  <si>
    <t>UPI-BALAJI N-BALAJISOUNDHER899@OKAXIS-IBKL0001061-102975078285-MARCH 2025 STIPEND</t>
  </si>
  <si>
    <t>Balaji N</t>
  </si>
  <si>
    <t>UPI-ABDUL RAHMAN M-ABDULAR025@OKICICI-CNRB0000033-102992147346-MARCH 2025 STIPEND</t>
  </si>
  <si>
    <t>Abdhul Rahman</t>
  </si>
  <si>
    <t>UPI-MR BARATH K-PAZHAYASORU101-2@OKHDFCBANK-IDIB000K087-102992219004-MARCH 2025 STIPEND</t>
  </si>
  <si>
    <t>Barath K</t>
  </si>
  <si>
    <t>UPI-FRESH 2 DAY-PAYTM.D10786865186@PTY-YESB0MCHUPI-103020939144-SNACKS</t>
  </si>
  <si>
    <t>UPI-THE SEAMOUNT RESTAUR-VYAPAR.171649384877@HDFCBANK-HDFC0MERUPI-103048219753-TEAM DINNER</t>
  </si>
  <si>
    <t>Cost of refreshments (Food) for staff</t>
  </si>
  <si>
    <t>IMPS-510516340747-T YUVARAJ-HDFC-XXXXXXXXXX2374-OD TRANSFER ARYU</t>
  </si>
  <si>
    <t>Loan from Yuvaraj OD Account</t>
  </si>
  <si>
    <t>UPI-PALANISAMY  R-PALANISAMYR779@OKICICI-IOBA0001697-103219982961-MARCH 2025 STIPEND</t>
  </si>
  <si>
    <t>Palanisamy</t>
  </si>
  <si>
    <t>UPI-RAMKISHORE  RAMASAMY-RAMKISHORE1215@OKHDFCBANK-IOBA0000559-103220111336-MARCH 2025 STIPEND</t>
  </si>
  <si>
    <t>Ramkishore</t>
  </si>
  <si>
    <t>BHREDNJ0ICXZIG/EPFO</t>
  </si>
  <si>
    <t>ER&amp;EE  Contribution Mar-25 Month PF- ECR Retuns - For Directors &amp; Employees</t>
  </si>
  <si>
    <t>UPI-GOOGLE INDIA DIGITAL-GPAY-TV-INTERNET@OKPAYAXIS-UTIB0000553-103224885886-UPI</t>
  </si>
  <si>
    <t>Expense for internet connectivity - ACT</t>
  </si>
  <si>
    <t>UPI-MURUGAN M-MUNIAPPANMUNIAPPAN297-1@OKSBI-PUNB0792400-103224995155-TEA PAYMENT</t>
  </si>
  <si>
    <t>IMPS-510609312060-T YUVARAJ-HDFC-XXXXXXXXXX2374-ARYU OD PROFESSIONAL TAX</t>
  </si>
  <si>
    <t>UPI-NAUKRI CS INR-NAUKRICSINR-29961.PAYU@INDUS-INDB0MERCHA-100107854703-UPI TRANSACTION</t>
  </si>
  <si>
    <t>CHQ PAID-INWARD TRAN-THE COMMISSIONER GC</t>
  </si>
  <si>
    <t>Tax paid to Govt (Professional Tax, Penalty and Fines) (2nd instl )</t>
  </si>
  <si>
    <t>UPI-MANIKANDAN B-MANIBOOPATHY143-1@OKHDFCBANK-UBIN0540749-103275047392-PAN GOV FEES</t>
  </si>
  <si>
    <t>PAN Correction Yuvaraj</t>
  </si>
  <si>
    <t>UPI-HARITHA R-RADHAKRISHNANHARITHA08-1@OKHDFCBANK-HDFC0001297-103276134600-MARKER</t>
  </si>
  <si>
    <t>Purchase Maker</t>
  </si>
  <si>
    <t>IMPS-510710988701-ARYU ENTERPRISES PRIVATE LIMITED-INDB-XXXXXXXX5106-P2AMOB</t>
  </si>
  <si>
    <t>MULTIPLE-SALARY-ARUNA-SAL-APRIL.TXT</t>
  </si>
  <si>
    <t>Director salary</t>
  </si>
  <si>
    <t>Aruna</t>
  </si>
  <si>
    <t>BHRE9V90IHY02Q/EPFO</t>
  </si>
  <si>
    <t>ER contribution  JUL-23 Month PF- Arrear Retuns - For Directors</t>
  </si>
  <si>
    <t>BHRELWU0IHZNOP/EPFO</t>
  </si>
  <si>
    <t>ER contribution  SEP-23 Month PF- Arrear Retuns - For Directors</t>
  </si>
  <si>
    <t>BHRES2P0IHZSJP/EPFO</t>
  </si>
  <si>
    <t>ER contribution  AUG-23 Month PF- Arrear Retuns - For Directors</t>
  </si>
  <si>
    <t>UPI-THILIPAN T-THILIP707-1@OKHDFCBANK-HDFC0003883-103365508907-MARCH MONTH SERVER</t>
  </si>
  <si>
    <t>Thilipan</t>
  </si>
  <si>
    <t>IMPS-510811109068-SRIDHAR JAGADEESAN-ICIC-XXXXXXXX3206-AWS WORK - INTRANET</t>
  </si>
  <si>
    <t>Sridhar</t>
  </si>
  <si>
    <t>UPI-ENTERPRISE BROADBAND-PAYTM-57621217@PTYBL-YESB0PTMUPI-103368659465-UPI</t>
  </si>
  <si>
    <t>Expense for internet connectivity - JIO</t>
  </si>
  <si>
    <t>UPI-R SATHISHKUMAR-ROYALSTARSATHISH1@OKHDFCBANK-HDFC0003742-103380485109-AC</t>
  </si>
  <si>
    <t>AC service and repair work</t>
  </si>
  <si>
    <t>UPI-KISHOREKUMAR SUNDARA-KISHOREYUVANDREAMFX@OKAXIS-UTIB0002146-103414572502-UPI</t>
  </si>
  <si>
    <t>Shoot expenses associated with creating promotional content</t>
  </si>
  <si>
    <t>UPI-GOODS AND SERVICES T-GOODSANDSERVICESTAXN.76088835@HDFCBANK-HDFC0MERUPI-100389999954-GSTN</t>
  </si>
  <si>
    <t>GST PAID for commercial purpose (ITC Claimed)</t>
  </si>
  <si>
    <t>UPI-MURUGAN M-MUNIAPPANMUNIAPPAN297-1@OKSBI-PUNB0792400-103541465009-TEA PAYMENT</t>
  </si>
  <si>
    <t>UPI-HARITHA R-RADHAKRISHNANHARITHA08-1@OKHDFCBANK-HDFC0001297-103543280227-DISH WASH</t>
  </si>
  <si>
    <t>Dish Wash Purchased by Harithe</t>
  </si>
  <si>
    <t>UPI-GOOGLE INDIA DIGITAL-GPAYRECHARGE@OKPAYAXIS-UTIB0000553-103744946873-UPI</t>
  </si>
  <si>
    <t>UPI-SUDHARSHAN T-2BASUDHARSHANT8168@OKAXIS-BARB0CHOOLA-103795317757-FAN</t>
  </si>
  <si>
    <t>Asset Purchase</t>
  </si>
  <si>
    <t>Purchase Fan</t>
  </si>
  <si>
    <t>UPI-JALAJA  RAJESH-JALAJAPARIYARATH@OKSBI-SBIN0006495-103796938827-FAN ELECTRICIAN WO</t>
  </si>
  <si>
    <t>Expense for electrician services for electrical work</t>
  </si>
  <si>
    <t>UPI-PROTEAN EGOV TECHNOL-PAYTM-01478@PTYBL-YESB0PTMUPI-283976376472-OID101RPB280420251</t>
  </si>
  <si>
    <t>Director Aruna Pan Reprint Govt Fee</t>
  </si>
  <si>
    <t>UPI-RESIDENTUIDAIGOVIN-PAYUPAYMENTSWALLETS@YBL-YESB0YBLUPI-511876768030-COLLECT REQUEST FR</t>
  </si>
  <si>
    <t>Director Yuvaraj Aadhar Reprint Govt Fee</t>
  </si>
  <si>
    <t>UPI-RESIDENTUIDAIGOVIN-PAYUPAYMENTSWALLETS@YBL-YESB0YBLUPI-511833685358-COLLECT REQUEST FR</t>
  </si>
  <si>
    <t>Director Aruna Aadhar Reprint Govt Fee</t>
  </si>
  <si>
    <t>IMPS-512207591865-ARYU ENTERPRISES PRIVATE LIMITED-INDB-XXXXXXXX5106-P2AMOB</t>
  </si>
  <si>
    <t>MULTIPLE-SALARY-DIR-SAL-APR.TXT</t>
  </si>
  <si>
    <t>UPI-GOOGLE INDIA DIGITAL-GPAYRECHARGE@OKPAYAXIS-UTIB0000553-104125232962-UPI</t>
  </si>
  <si>
    <t>UPI-GOOGLE INDIA SERVICE-GPAYRECHARGE@ICICI-ICIC0DC0099-104125301148-UPI</t>
  </si>
  <si>
    <t>UPI-GFXTOOLZ-M22CHPIX3GUZD@YBL-YESB0YBLUPI-104129200037-PAYMENT FOR 658642</t>
  </si>
  <si>
    <t>Tools Buy</t>
  </si>
  <si>
    <t>NEFT DR-IDIB000A132-CAROLINE JOSHVA-NETBANK, MUM-HDFCN52025050515196919-RENT MAINTENANCE</t>
  </si>
  <si>
    <t>NEFT DR-KKBK0000468-ARYU ACADEMY-NETBANK, MUM-HDFCN52025050616284117-SELF TRANSFER RENT</t>
  </si>
  <si>
    <t>Rent for office -Sherin</t>
  </si>
  <si>
    <t>UPI-MURUGAN M-MUNIAPPANMUNIAPPAN297-1@OKSBI-PUNB0792400-104367292564-TEA PAYMENT</t>
  </si>
  <si>
    <t>.IMPS P2P 510811109068#18/04/2025 180425-MIR2612757471708</t>
  </si>
  <si>
    <t>UPI-SHOPIFY COMMERCE SIN-SHOPIFYCOMMERCESINGAPORE.RZP@ICICI-ICIC0DC0099-512702860009-PAY VIA RAZORPAY</t>
  </si>
  <si>
    <t>UPI-KISHOREKUMAR SUNDARA-KISHOREYUVANDREAMFX@OKAXIS-UTIB0002146-104419490243-PETROL ALLOWANCE A</t>
  </si>
  <si>
    <t>Petrol &amp; Fuel</t>
  </si>
  <si>
    <t>UPI-PALANISAMY  R-PALANISAMYR779@OKICICI-IOBA0001697-104447306690-FACTORY VISIT</t>
  </si>
  <si>
    <t>Erode for Site Visit</t>
  </si>
  <si>
    <t>BHDFQ2Y0KAOLED/BILLDKPLAYSTOREGOOGL</t>
  </si>
  <si>
    <t>UPI-BALACHANDAR JEGADEES-MATHEWBALA0010-1@OKHDFCBANK-HDFC0001297-104463887663-AVINSAA GST</t>
  </si>
  <si>
    <t>GST Approval for Avinsaa</t>
  </si>
  <si>
    <t>UPI-PRAGATHI BROILER FAR-Q552911586@YBL-YESB0YBLUPI-104566242563-CHICKEN FOOD LUNCH</t>
  </si>
  <si>
    <t>Cost of refreshments (food) for staff</t>
  </si>
  <si>
    <t>UPI-XXXXXXXXXXX9053-UTIB0000016-104581533625-SYSTEM RENT</t>
  </si>
  <si>
    <t>Rental expense for Office system</t>
  </si>
  <si>
    <t>UPI-CORPORATENAUKRI-CORPORATE.NAUKRI.PAYU@AXISBANK-UTIB0000000-450289491325-UPI TRANSACTION</t>
  </si>
  <si>
    <t>Recruitment expenses on Naukri portal</t>
  </si>
  <si>
    <t>UPI-SHOPIFY COMMERCE SIN-SHOPIFYCOMMERCESINGAPORE.RZP@ICICI-ICIC0DC0099-549726955622-PAY VIA RAZORPAY</t>
  </si>
  <si>
    <t>NEFT CR-INDB0000006-UPWORK ESCROW INC-YUVARAJ T-INDBN52025051203841157</t>
  </si>
  <si>
    <t>MULTIPLE-SALARY-EMP-SAL-APRIL-25.TXT</t>
  </si>
  <si>
    <t>UPI-ARYU ACADEMY-YUVA.TANYA-3@OKHDFCBANK-KKBK0000468-104730862926-UPI</t>
  </si>
  <si>
    <t>For Multiple Employees</t>
  </si>
  <si>
    <t>UPI-HARITHA R -RADHAKRISHNANHARITHA08-2@OKHDFCBANK-TMBL0000123-104746079952-CAKE</t>
  </si>
  <si>
    <t>UPI-MURUGAN M-MUNIAPPANMUNIAPPAN297-1@OKSBI-PUNB0792400-104746132101-TEA AMOUNT</t>
  </si>
  <si>
    <t>UPIRET-20250507-512702860009</t>
  </si>
  <si>
    <t>IMPS-513717255272-ARYU ENTERPRISES PRIVATE LIMITED-INDB-XXXXXXXX5106-P2AMOB</t>
  </si>
  <si>
    <t>MULTIPLE-SALARY-DIR-SAL-APR-ARUNA.TXT</t>
  </si>
  <si>
    <t>BHRE3UG0L4GUBQ/EPFO</t>
  </si>
  <si>
    <t>ER&amp;EE  Contribution Apl-25 Month PF- ECR Retuns - For Directors &amp; Employees</t>
  </si>
  <si>
    <t>BHREZZQ0L4H0VK/EPFO</t>
  </si>
  <si>
    <t>ER contribution  Apl-23 Month PF- Arrear Retuns - For Directors</t>
  </si>
  <si>
    <t>BHREQYG0L4H91B/EPFO</t>
  </si>
  <si>
    <t>ER contribution  May-23 Month PF- Arrear Retuns - For Directors</t>
  </si>
  <si>
    <t>BHREN590L4HC5Y/EPFO</t>
  </si>
  <si>
    <t>ER contribution  Jun-23 Month PF- Arrear Retuns - For Directors</t>
  </si>
  <si>
    <t>UPI-GOODS AND SERVICES T-GOODSANDSERVICESTAXN.76088835@HDFCBANK-HDFC0MERUPI-100586985494-GSTN</t>
  </si>
  <si>
    <t>UPI-CORPORATENAUKRI-CORPORATE.NAUKRI.PAYU@AXISBANK-UTIB0000000-371738151405-UPI TRANSACTION</t>
  </si>
  <si>
    <t>UPI-BALACHANDAR JEGADEES-MATHEWBALA0010-1@OKHDFCBANK-HDFC0001297-105165273651-GST</t>
  </si>
  <si>
    <t>GST address Change for Aryu</t>
  </si>
  <si>
    <t>UPI-HARITHA R -RADHAKRISHNANHARITHA08-2@OKHDFCBANK-TMBL0000123-105227437327-CAKE</t>
  </si>
  <si>
    <t>UPI-GOOGLE INDIA DIGITAL-GPAYRECHARGE@OKPAYAXIS-UTIB0000553-105239626525-UPI</t>
  </si>
  <si>
    <t>IMPS-514917318657-T YUVARAJ-HDFC-XXXXXXXXXX2374-OFFICE MISCELLANEOUS EXPENSE</t>
  </si>
  <si>
    <t>unfindable</t>
  </si>
  <si>
    <t>UPI-CORPORATENAUKRI-CORPORATE.NAUKRI.PAYU@AXISBANK-UTIB0000000-464270541495-UPI TRANSACTION</t>
  </si>
  <si>
    <t>UPI-MURUGAN M-MUNIAPPANMUNIAPPAN297-1@OKSBI-PUNB0792400-105590349443-TEA PAYMENT</t>
  </si>
  <si>
    <t>UPI-BALACHANDAR JEGADEES-MATHEWBALA0010-1@OKHDFCBANK-HDFC0001297-105590387990-UPI</t>
  </si>
  <si>
    <t>Visit GST Office</t>
  </si>
  <si>
    <t>UPI-GOOGLE INDIA SERVICE-GPAYRECHARGE@ICICI-ICIC0DC0099-105642864071-UPI</t>
  </si>
  <si>
    <t>UPI-GOOGLE INDIA DIGITAL-GPAYRECHARGE@OKPAYAXIS-UTIB0000553-105642918609-UPI</t>
  </si>
  <si>
    <t>UPI-SWIGGY LIMITED-SWIGGY1ONLINE.GPAY@OKPAYAXIS-UTIB0000553-105733087084-UPI</t>
  </si>
  <si>
    <t>NEFT CR-INDB0000006-UPWORK ESCROW INC-ARUNA V-INDBN52025060206510647</t>
  </si>
  <si>
    <t>NEFT CR-INDB0000006-UPWORK ESCROW INC-YUVARAJ T-INDBN52025060206510462</t>
  </si>
  <si>
    <t>UPI-HARITHA R -RADHAKRISHNANHARITHA08-2@OKHDFCBANK-TMBL0000123-105840516943-CAKE</t>
  </si>
  <si>
    <t>IMPS-515412065542-ARYU ENTERPRISES PRIVATE LIMITED-INDB-XXXXXXXX5106-P2AMOB</t>
  </si>
  <si>
    <t>UPI-ANKIT MAHESH  KOR-GFXTOOLZ@YBL-YESB0000618-105860127236-UPI</t>
  </si>
  <si>
    <t>MULTIPLE-SALARY-YUVA-SAL-MAY-25.TXT</t>
  </si>
  <si>
    <t>JANMAR25 INSTAALERTCHG 64 SMS 040425-MIR2615430052063</t>
  </si>
  <si>
    <t>UPI-AIRTEL PAYMENTS BANK-AIRTELPOSTPAID@AXB-UTIB0000100-552165785470-DEBIT MONEY USING</t>
  </si>
  <si>
    <t>UPI-MURUGAN M-MUNIAPPANMUNIAPPAN297-1@OKSBI-PUNB0792400-105921266536-TEA PAYMENT</t>
  </si>
  <si>
    <t>NEFT DR-IDIB000A132-CAROLINE JOSHVA-NETBANK, MUM-HDFCN52025060575628579-RENT MAINTENANCE</t>
  </si>
  <si>
    <t>MULTIPLE-SALARY-ARUNA-SAL-MAY-25.TXT</t>
  </si>
  <si>
    <t>IMPS-515700350775-T YUVARAJ-HDFC-XXXXXXXXXX2374-OD LOAN FOR EMPLOYEE SALARY</t>
  </si>
  <si>
    <t>IMPS-515819344730-T YUVARAJ-HDFC-XXXXXXXXXX5241-MEDICS  URBAN PAYMENT</t>
  </si>
  <si>
    <t>QF05WZEXPZOFTA/GOOGLEADS</t>
  </si>
  <si>
    <t>MULTIPLE-SALARY-EMP-SAL-MAY-25.TXT</t>
  </si>
  <si>
    <t>UPI-ABDUL RAHMAN M-ABDULAR025@OKICICI-CNRB0000033-106250430210-MAY 2025 STIPEND F</t>
  </si>
  <si>
    <t>UPI-BHARATHWAJ S-BHARATHWAJB599-1@OKHDFCBANK-HDFC0001254-106250481002-MAY 2025 STIPEND F</t>
  </si>
  <si>
    <t>UPI-VENU D-DVENU6383@OKHDFCBANK-BKID0008260-106250511800-MAY 2025 STIPEND F</t>
  </si>
  <si>
    <t>UPI-MR IYYAPPAN A-IYYAPPANMECH678@OKSBI-IDIB000A088-106250577720-MAY 2025 STIPEND F</t>
  </si>
  <si>
    <t>UPI-MS KALAISELVI  K-KANNANSELVI130@OKHDFCBANK-CIUB0000467-106250984000-MAY 2025 STIPEND F</t>
  </si>
  <si>
    <t>UPI-MR GURUKARTHIKEYAN M-GURUKARTHIKEYANKVP@OKSBI-IDIB000K051-106251036950-MAY 2025 STIPEND F</t>
  </si>
  <si>
    <t>Gurukarthikeyan M</t>
  </si>
  <si>
    <t>UPI-RAGUL  B-EUGINRAHUL@OKSBI-SBIN0000975-106251087746-MAY 2025 STIPEND F</t>
  </si>
  <si>
    <t>Ragul  B</t>
  </si>
  <si>
    <t>UPI-MRS BHUVANESWARI PAT-DRBHUBHU587@OKHDFCBANK-IDIB000M132-106251172400-MAY 2025 STIPEND F</t>
  </si>
  <si>
    <t>Bhuvaneswari Pat</t>
  </si>
  <si>
    <t>UPI-THILIPAN T-THILIP707-1@OKHDFCBANK-HDFC0003883-106251385154-AWS WORK PAYMENT</t>
  </si>
  <si>
    <t>UPI-HEYRAM M-HEYRAM334@OKICICI-KVBL0001278-106252154708-MAY 2025 STIPEND F</t>
  </si>
  <si>
    <t>Heyram M</t>
  </si>
  <si>
    <t>UPI-KANIMOZHI T-KANITHANGAVEL7779-1@OKHDFCBANK-HDFC0001006-106257686045-BARATH SALARY</t>
  </si>
  <si>
    <t>UPI-SHOPIFY COMMERCE SIN-SHOPIFYCOMMERCESINGAPORE.RZP@ICICI-ICIC0DC0099-516279644482-PAY VIA RAZORPAY</t>
  </si>
  <si>
    <t>To shopify Commerce Sin</t>
  </si>
  <si>
    <t>UPI-ARUNKUMAR RAMESH-7395997274@YBL-UCBA0002519-106334511557-MAY MONTH STIPEND</t>
  </si>
  <si>
    <t>Arunkumar Ramesh</t>
  </si>
  <si>
    <t>UPI-PALANISAMY  R-PALANISAMYR779@OKICICI-IOBA0001697-106335715018-JUNE MONTH STIPEND</t>
  </si>
  <si>
    <t>UPI-BALAJI N-BALAJISOUNDHER899@OKAXIS-IBKL0001061-106336436091-MAY MONTH STIPEND</t>
  </si>
  <si>
    <t>UPI-DHANASEKARAN T-TDHANASEKARAN202@OKAXIS-CNRB0000033-106337159073-MAY MONTH STIPEND</t>
  </si>
  <si>
    <t>Dhanasekaran</t>
  </si>
  <si>
    <t>UPI-MURUGAN M-MUNIAPPANMUNIAPPAN297-1@OKSBI-PUNB0792400-106355675171-TEA PAYMENT</t>
  </si>
  <si>
    <t>UPI-ARYU ACADEMY-YUVA.TANYA-3@OKHDFCBANK-KKBK0000468-106355786612-MEDICS</t>
  </si>
  <si>
    <t>UPI-SWIGGY LIMITED-SWIGGY1ONLINE.GPAY@OKPAYAXIS-UTIB0000553-106528578943-UPI</t>
  </si>
  <si>
    <t>NEFT CR-INDB0000006-UPWORK ESCROW INC-YUVARAJ T-INDBN52025061608479882</t>
  </si>
  <si>
    <t>CBDT/BANK REFERENCE NO:K2516735542896/CIN NO:25061600120617HDFC/ONLINE</t>
  </si>
  <si>
    <t>Advance tax paid for 1Q</t>
  </si>
  <si>
    <t>IMPS-516809973422-ARYU ENTERPRISES PRIVATE LIMITED-INDB-XXXXXXXX5106-P2AMOB</t>
  </si>
  <si>
    <t>BHREN3U0NSG67M/EPFO</t>
  </si>
  <si>
    <t>ER contribution  Jan-21 Month PF- Arrear Retuns - For Directors</t>
  </si>
  <si>
    <t>BHRE5ME0NSGBSY/EPFO</t>
  </si>
  <si>
    <t>ER contribution  Feb-21 Month PF- Arrear Retuns - For Directors</t>
  </si>
  <si>
    <t>BHREZ4F0NSGFMI/EPFO</t>
  </si>
  <si>
    <t>ER contribution  Mar-21 Month PF- Arrear Retuns - For Directors</t>
  </si>
  <si>
    <t>IMPS-516819172698-ARUNA V-HDFC-XXXXXXXXXX6479-GROCERY</t>
  </si>
  <si>
    <t>Grocery</t>
  </si>
  <si>
    <t>UPI-ARYU ACADEMY-YUVA.TANYA-3@OKHDFCBANK-KKBK0000468-106647862665-CLIENT MEETING</t>
  </si>
  <si>
    <t>Client Meeting</t>
  </si>
  <si>
    <t>BHREM270NVGLZP/EPFO</t>
  </si>
  <si>
    <t>ER&amp;EE  Contribution May-25 Month PF- ECR Retuns - For Directors &amp; Employees</t>
  </si>
  <si>
    <t>UPI-SURESH KUMAR V-SURESHDS2513@OKAXIS-TMBL0000370-106679644399-BHARATWAJ FRUITS</t>
  </si>
  <si>
    <t>UPI-MURUGAN M-MUNIAPPANMUNIAPPAN297-1@OKSBI-PUNB0792400-106710877613-TEA PAYMENT</t>
  </si>
  <si>
    <t>50200082642374-TPT-REPAYMENT TO OD LOAN-T YUVARAJ</t>
  </si>
  <si>
    <t>UPI-QUICK OFFICE SOLUTIO-QUICKECORP-2@OKHDFCBANK-HDFC0000675-106769670660-HOSE KEEPING</t>
  </si>
  <si>
    <t>House Keeping</t>
  </si>
  <si>
    <t>UPI-XXXXXXXXXXX9053-UTIB0000016-106776603549-SYSTEM RENT ARYU A</t>
  </si>
  <si>
    <t>GST/BANK REFERENCE NO: R2517164684015/CIN NO: HDFC25063300544428</t>
  </si>
  <si>
    <t>UPI-RAHUL  R-RAHUL.RAJIV2001-1@OKSBI-SBIN0012877-106783923360-INCENTIVE FROM ARY</t>
  </si>
  <si>
    <t>Rahul R</t>
  </si>
  <si>
    <t>UPI-KISHORE KUMAR  S-KISHORE-8@PTYES-SBIN0012780-106786148622-ARYU EXPENSES</t>
  </si>
  <si>
    <t>Kishore</t>
  </si>
  <si>
    <t>CASH DEPOSIT BY - SELF - ARUMBAKKAM</t>
  </si>
  <si>
    <t>cash</t>
  </si>
  <si>
    <t>UPI-HARITHA R -RADHAKRISHNANHARITHA08-2@OKHDFCBANK-TMBL0000123-106822762538-CAKE</t>
  </si>
  <si>
    <t>50200082642374-TPT-OD LOAN REPAYMENT-T YUVARAJ</t>
  </si>
  <si>
    <t>UPI-PROTEAN EGOV TECHNOL-PAYTM-01478@PTYBL-YESB0PTMUPI-106917726188-UPI</t>
  </si>
  <si>
    <t>PAN Reprint application fee</t>
  </si>
  <si>
    <t>UPI-GOOGLE INDIA SERVICE-GPAYRECHARGE@ICICI-ICIC0DC0099-106925712509-UPI</t>
  </si>
  <si>
    <t>UPI-MR IYYAPPAN A-IYYAPPANMECH678@OKSBI-IDIB000A088-107073319139-CAKE</t>
  </si>
  <si>
    <t>UPI-THE HINDU GROUP-PAYTM-8740186@PTYBL-YESB0PTMUPI-107116744551-UPI</t>
  </si>
  <si>
    <t>purchase of newspapers for staff welfare during tea time</t>
  </si>
  <si>
    <t>UPI-MURUGAN M-MUNIAPPANMUNIAPPAN297-1@OKSBI-PUNB0792400-107146238207-TEA PAYMENT</t>
  </si>
  <si>
    <t>UPI-GOOGLE INDIA DIGITAL-GPAYRECHARGE@OKPAYAXIS-UTIB0000553-107274206197-UPI</t>
  </si>
  <si>
    <t>UPI-KISHORE KUMAR  S-KISHORE-8@PTYES-SBIN0012780-107277285952-AVINSAA  SHOOT</t>
  </si>
  <si>
    <t>UPI-RAHUL  R-RAHUL.RAJIV2001-1@OKSBI-SBIN0012877-107278232208-AVINSAA STATIONERY</t>
  </si>
  <si>
    <t>stationery</t>
  </si>
  <si>
    <t>NEFT CR-CIUB0000280-INNERPECE-ARYU ENTERPRISES PRIVATE LIMIT-CIUBN52025063081009101</t>
  </si>
  <si>
    <t>UPI-GOOGLE INDIA SERVICE-GPAYRECHARGE@ICICI-ICIC0DC0099-107292196609-UPI</t>
  </si>
  <si>
    <t>UPI-CORPORATENAUKRI-CORPORATE.NAUKRI.PAYU@AXISBANK-UTIB0000000-499679581815-UPI TRANSACTION</t>
  </si>
  <si>
    <t>BHDFJXC0P20VOD/BILLDKPLAYSTOREGOOGL</t>
  </si>
  <si>
    <t>UPI-HARITHA R -RADHAKRISHNANHARITHA08-2@OKHDFCBANK-TMBL0000123-107466874110-KAASINI CAKE</t>
  </si>
  <si>
    <t>UPI-SURESH KUMAR V-SURESHDS2513@OKAXIS-TMBL0000370-107467315344-UPI</t>
  </si>
  <si>
    <t>Personal Purpose</t>
  </si>
  <si>
    <t>IMPS-518513095777-ARYU ENTERPRISES PRIVATE LIMITED-INDB-XXXXXXXX5106-P2AMOB</t>
  </si>
  <si>
    <t>MULTIPLE-SALARY-YUVA-JUNE.TXT</t>
  </si>
  <si>
    <t>NEFT DR-IDIB000A132-CAROLINE JOSHVA-NETBANK, MUM-HDFCN52025070535412667-RENT MAINTENANCE</t>
  </si>
  <si>
    <t>NEFT DR-KKBK0000468-ARYU ACADEMY-NETBANK, MUM-HDFCN52025070535475878-RENT MAINTENANCE</t>
  </si>
  <si>
    <t>UPI-T YUVARAJ-YUVA.TANYA@OKHDFCBANK-HDFC0003760-107584472920-UPI</t>
  </si>
  <si>
    <t>Creditor</t>
  </si>
  <si>
    <t>UPI-DIYA BEAUTY ACADEMY-MAB0451112A0095424@YESBANK-YESB0000419-107584517586-UPI</t>
  </si>
  <si>
    <t>UPI-ILYAS P-PAYTMQR5VTORN@PTYS-YESB0PTMUPI-107584742152-UPI</t>
  </si>
  <si>
    <t>UPI-SARANRAJ MUTHUSAMY S-ITSSARANRAAJ-2@OKSBI-FDRL0001657-518612486251-SYSTEM RENT</t>
  </si>
  <si>
    <t>Rental expense for Office system he Give for Avinsaa</t>
  </si>
  <si>
    <t>UPI-DIYA BEAUTY ACADEMY-MAB0451112A0095424@YESBANK-YESB0000419-107643229872-UPI</t>
  </si>
  <si>
    <t>UPI-AVENUE SUPERMARTS LT-PINEDMARTTN@ICICI-ICIC0DC0099-107653323193-UPI</t>
  </si>
  <si>
    <t>NEFT CR-KKBK0000958-OCCD PRIVATE LIMITED-ARYU ENTERPRISES PRIVATE LIMITED-KKBKN62025070747335087</t>
  </si>
  <si>
    <t>Bug Fixing</t>
  </si>
  <si>
    <t>UPI-TANGEDCO-TANGEDCO@INDIANBK-IDIB000A089-107674753788-TANGEDCO PORTAL QR</t>
  </si>
  <si>
    <t>UPI-XXXXXXXXXXX9053-UTIB0000016-107674827095-JUNE RENT</t>
  </si>
  <si>
    <t>UPI-ANKYAI-ANKY.AI@IDFCBANK-IDFB0040197-107752416487-UPI</t>
  </si>
  <si>
    <t>UPI-KISHORE KUMAR S-KISHORE-8@PTYES-SBIN0012780-107938940239-UPI</t>
  </si>
  <si>
    <t>UPI-ROHITH R SHERWIN-SHERWINROHITH-1@OKSBI-SBIN0070016-107941865793-ADVANCE</t>
  </si>
  <si>
    <t>ROHITH R</t>
  </si>
  <si>
    <t>UPI-XXXXXXXXXXX9053-UTIB0000016-108080738686-UPI</t>
  </si>
  <si>
    <t>Rental expense for Office system (pending Amount)</t>
  </si>
  <si>
    <t>NEFT CR-INDB0000006-UPWORK ESCROW INC-ARUNA V-INDBN52025071402516138</t>
  </si>
  <si>
    <t>NEFT CR-INDB0000006-UPWORK ESCROW INC-YUVARAJ T-INDBN52025071402516039</t>
  </si>
  <si>
    <t>NEFT DR-IDFB0081831-SRIPRIYAA L AND CO-NETBANK, MUM-HDFCN52025071556048799-INCORPORATION ADVC</t>
  </si>
  <si>
    <t>Aryu Academy Incorporation</t>
  </si>
  <si>
    <t>UPI-HOSTINGER PTE LTD-HOSTINGERPTELTD.RZP@ICICI-ICIC0DC0099-519660985701-PAY VIA RAZORPAY</t>
  </si>
  <si>
    <t>Hostinger</t>
  </si>
  <si>
    <t>UPI-HOSTINGER PTE LTD-HOSTINGERPTELTD184.RZP@ICICI-ICIC0DC0099-108142289349-PAYMENTTOHOSTINGER</t>
  </si>
  <si>
    <t>UPI-GOOGLE INDIA DIGITAL-GPAY-TV-INTERNET@OKPAYAXIS-UTIB0000553-108143574371-UPI</t>
  </si>
  <si>
    <t>UPI-ATRIA CONVERGENCE TE-ACTPL.BILLDESK@HDFCBANK-HDFC0MERUPI-100981961885-ACTTV</t>
  </si>
  <si>
    <t>UPI-MURUGAN M-MUNIAPPANMUNIAPPAN297-1@OKSBI-PUNB0792400-108148384184-TEA PAYMENT</t>
  </si>
  <si>
    <t>BHREUJK0QGBXOC/EPFO</t>
  </si>
  <si>
    <t>ER&amp;EE  Contribution Jun-25 Month PF- ECR Retuns - For Directors &amp; Employees</t>
  </si>
  <si>
    <t>UPI-MEDICS RESEARCH-JABARALI2009-2@OKHDFCBANK-HDFC0006889-108162113747-UPI</t>
  </si>
  <si>
    <t>Medics Project</t>
  </si>
  <si>
    <t>UPI-GOOGLE INDIA DIGITAL-GPAYRECHARGE@OKPAYAXIS-UTIB0000553-108233254067-UPI</t>
  </si>
  <si>
    <t>UPI-ENTERPRISE BROADBAND-PAYTM-57621217@PTYBL-YESB0PTMUPI-108295279044-UPI</t>
  </si>
  <si>
    <t>UPI-AIRTEL PAYMENTS BANK-AIRTELPAYMENTSBANKLIMI-8027499.PAYU@INDUS-INDB0MERCHA-100159132129-UPI TRANSACTION</t>
  </si>
  <si>
    <t>IMPS-519916331323-ARYU ENTERPRISES PRIVATE LIMITED-INDB-XXXXXXXX5106-P2AMOB</t>
  </si>
  <si>
    <t>UPI-GOODS AND SERVICES T-GOODSANDSERVICESTAXN.76088835@HDFCBANK-HDFC0MERUPI-101003500851-GSTN</t>
  </si>
  <si>
    <t>MULTIPLE-SALARY-JUNE-EMP-SAL.TXT</t>
  </si>
  <si>
    <t>UPI-BHARATHWAJ S-BHARATHWAJB599-1@OKHDFCBANK-HDFC0001254-108315657465-JUNE 2025 SALARY F</t>
  </si>
  <si>
    <t>UPI-VENU D-DVENU6383@OKHDFCBANK-BKID0008260-108315710682-JUNE 2025 SALARY F</t>
  </si>
  <si>
    <t>UPI-ROHITH R SHERWIN-SHERWINROHITH-1@OKSBI-SBIN0070016-108315850667-JUNE 2025 STIPEND</t>
  </si>
  <si>
    <t>UPI-RAGUL  B-EUGINRAHUL@OKSBI-SBIN0000975-108315913716-JUNE 2025 SALARY F</t>
  </si>
  <si>
    <t>UPI-MR IYYAPPAN A-IYYAPPANMECH678@OKSBI-IDIB000A088-108315960843-JUNE 2025 STIPEND</t>
  </si>
  <si>
    <t>UPI-R ABITHA-RAVIABI698@OKSBI-IOBA0001092-108316385035-JUNE 2025 STIPEND</t>
  </si>
  <si>
    <t>Abitha</t>
  </si>
  <si>
    <t>UPI-THILIPAN T-THILIP707-1@OKHDFCBANK-HDFC0003883-108316562677-AWS WORK PAYMENT</t>
  </si>
  <si>
    <t>UPI-ABDUL RAHMAN M-ABDULAR025@OKICICI-CNRB0000033-108316637674-JUNE 2025 SALARY F</t>
  </si>
  <si>
    <t>UPI-MR BARATH K-PAZHAYASORU101-2@OKHDFCBANK-IDIB000K087-108316696811-JUNE 2025 SALARY F</t>
  </si>
  <si>
    <t>UPI-MS KALAISELVI  K-KANNANSELVI130@OKHDFCBANK-CIUB0000467-108316848489-JUNE 2025 STIPEND</t>
  </si>
  <si>
    <t>kalaiselvi K</t>
  </si>
  <si>
    <t>UPI-MRS BHUVANESWARI PAT-BHUVANA27601@OKSBI-IDIB000M132-108317325450-UPI</t>
  </si>
  <si>
    <t>Bhuvaneshwari</t>
  </si>
  <si>
    <t>UPI-MRS RAJAKUMARI M-3111982RAJI@OKICICI-IDIB000J019-108317495323-HEYRAM JUNE 2025 S</t>
  </si>
  <si>
    <t>UPI-HARITHA R -RADHAKRISHNANHARITHA08-2@OKHDFCBANK-TMBL0000123-108344401724-UPI</t>
  </si>
  <si>
    <t>Haritha</t>
  </si>
  <si>
    <t>UPI-GOOGLE INDIA DIGITAL-GPAYRECHARGE@OKPAYAXIS-UTIB0000553-108458734401-UPI</t>
  </si>
  <si>
    <t>UPI-ARYU ACADEMY-YUVA.TANYA-3@OKHDFCBANK-KKBK0000468-108488920663-UPI</t>
  </si>
  <si>
    <t>UPI-HOSTINGER PTE LTD-HOSTINGERPTELTD.RZP@ICICI-ICIC0DC0099-520294777300-PAY VIA RAZORPAY</t>
  </si>
  <si>
    <t>NEFT CR-INDB0000006-UPWORK ESCROW INC-YUVARAJ T-INDBN52025072503881926</t>
  </si>
  <si>
    <t>UPI-BALAJI N-BALAJISOUNDHER899@OKAXIS-IBKL0001061-108691348916-JUNE MONTH STIPEND</t>
  </si>
  <si>
    <t>UPI-EZHILARASU S-EZHILKING189@OKSBI-CNRB0000033-108691521879-JUNE MONTH STIPEND</t>
  </si>
  <si>
    <t>Ezhilarasu S</t>
  </si>
  <si>
    <t>UPI-SURESH KUMAR V-SURESHDS2513@OKAXIS-TMBL0000370-108712013968-AUTO</t>
  </si>
  <si>
    <t>Spent cost for auto Suresh Kumar V</t>
  </si>
  <si>
    <t>UPI-HSB KPM MMC 1-PAYTM-73488905@PTYS-YESB0PTMUPI-108714787163-BREAKFAST AMBUR</t>
  </si>
  <si>
    <t>Break fast client Meet ambur</t>
  </si>
  <si>
    <t>UPI-SHANMUGAM S-PAYTMQR10CJLK@PAYTM-YESB0PTMUPI-108719925578-SNACKS</t>
  </si>
  <si>
    <t>UPI-ESWARIBRIYANICENTRE-IPPOPAYQYMS016F8F94T@FINITMB-IDIB000A090-108720985325-UPI</t>
  </si>
  <si>
    <t>UPI-SANGEETHA VEG RESTAU-Q78544616@YBL-YESB0YBLUPI-108756155308-UPI</t>
  </si>
  <si>
    <t>UPI-MRS JAGADHAMBIGAI J-JAGADHAJAGADHISH427@OKSBI-IDIB000R022-108768503585-UPI</t>
  </si>
  <si>
    <t>UPI-ARYU ACADEMY-YUVA.TANYA-3@OKHDFCBANK-KKBK0000468-108777457523-UPI</t>
  </si>
  <si>
    <t>UPI-ARYU ACADEMY-YUVA.TANYA-3@OKHDFCBANK-KKBK0000468-108804581312-UPI</t>
  </si>
  <si>
    <t>UPI-GOOGLE INDIA SERVICE-GPAYRECHARGE@ICICI-ICIC0DC0099-108824136401-UPI</t>
  </si>
  <si>
    <t>UPI-SRINIVASAN  S-SREEMAHA1780-4@OKHDFCBANK-BKID0008040-108829001426-MOTTA RICE</t>
  </si>
  <si>
    <t>UPI-RAHUL  R-RAHUL.RAJIV2001-1@OKSBI-SBIN0012877-108829188847-INCENTIVE FROM ARY</t>
  </si>
  <si>
    <t>UPI-GOODS AND SERVICES T-GOODSANDSERVICESTAXN.76088835@HDFCBANK-HDFC0MERUPI-101068545922-GSTN</t>
  </si>
  <si>
    <t>GST PAID for commercial purpose (ITC Claimed)(avinsaa)</t>
  </si>
  <si>
    <t>UPI-MURUGAN M-MUNIAPPANMUNIAPPAN297-1@OKSBI-PUNB0792400-108877808984-TEA PAYMENTS</t>
  </si>
  <si>
    <t>UPI-AVENUE SUPERMARTS LI-AVENUESUPERMARTSLIMI.27318527@HDFCBANK-HDFC0MERUPI-108904306548-UPI</t>
  </si>
  <si>
    <t>UPI-LIFESTYLE 3103-PAYTM-81356576@PTYS-YESB0PTMUPI-108904455053-UPI</t>
  </si>
  <si>
    <t>Lifestyle 3103</t>
  </si>
  <si>
    <t>UPI-T YUVARAJ-YUVA.TANYA@OKHDFCBANK-HDFC0003760-108920757882-UPI</t>
  </si>
  <si>
    <t>T Yuvaraj</t>
  </si>
  <si>
    <t>UPI-MR GURUKARTHIKEYAN M-GURUKARTHIKEYANKVP@OKICICI-IDIB000K051-108928311927-ARYU STIPEND JUNE</t>
  </si>
  <si>
    <t>NEFT DR-PUNB0010400-STORYRISE-NETBANK, MUM-HDFCN52025073079583932-ADVERTISEMENT</t>
  </si>
  <si>
    <t>UPI-AMEENA BEGUM A-AMEENAJAVID1126-2@OKSBI-SBIN0006495-108947859100-TUITION</t>
  </si>
  <si>
    <t>Ameena Begum A Teaching Employees Doubts</t>
  </si>
  <si>
    <t>UPI-ROHITH R SHERWIN-SHERWINROHITH-1@OKSBI-SBIN0070016-108965214450-ADVANCE</t>
  </si>
  <si>
    <t>Rohith</t>
  </si>
  <si>
    <t>UPI-T YUVARAJ-YUVA.TANYA@OKHDFCBANK-HDFC0003760-108971741571-BNI MEETING</t>
  </si>
  <si>
    <t>BNI Meeting</t>
  </si>
  <si>
    <t>UPI-HOSTINGER PTE LTD-HOSTINGERPTELTD.RZP@ICICI-ICIC0DC0099-521246528774-PAY VIA RAZORPAY</t>
  </si>
  <si>
    <t>UPI-REKHAA ORGANICS-PAYTM.D86865186@PTA-UTIB0000022-109032412103-UPI</t>
  </si>
  <si>
    <t>UPI-SRI SUDALAIMADASAMY -PAYTMQR61BQ73@PTYS-YESB0PTMUPI-109055651060-UPI</t>
  </si>
  <si>
    <t>UPI-GOOGLE INDIA SERVICE-GPAYRECHARGE@ICICI-ICIC0DC0099-109055675386-UPI</t>
  </si>
  <si>
    <t>UPI-AZHAGURAJA N-51AZHGURAJA@OKICICI-CNRB0000033-109071614091-UPI</t>
  </si>
  <si>
    <t>IMPS-521322289384-ARYU ENTERPRISES PRIVATE LIMITED-INDB-XXXXXXXX5106-P2AMOB</t>
  </si>
  <si>
    <t>MULTIPLE-SALARY-JULY-YUVA-SAL.TXT</t>
  </si>
  <si>
    <t>UPI-SURESH KUMAR V-SURESHDS2513@OKAXIS-TMBL0000370-109112066554-UPI</t>
  </si>
  <si>
    <t>BHDFPK00S5L1XP/BILLDKPLAYSTOREGOOGL</t>
  </si>
  <si>
    <t>UPI-ROHITH R SHERWIN-SHERWINROHITH-1@OKSBI-SBIN0070016-109164457885-ADVANCE</t>
  </si>
  <si>
    <t>ROHITH R Advance</t>
  </si>
  <si>
    <t>FARIDA SHOES P-ARYU ENTERPRISES</t>
  </si>
  <si>
    <t>sales</t>
  </si>
  <si>
    <t>UPI-MR IYYAPPAN A-IYYAPPANMECH678@OKSBI-IDIB000A088-109239237598-CAKE</t>
  </si>
  <si>
    <t>UPI-MURUGAN M-MUNIAPPANMUNIAPPAN297-1@OKSBI-PUNB0792400-109239365423-TEA PAYMENT</t>
  </si>
  <si>
    <t>UPI-HARITHA R -RADHAKRISHNANHARITHA08-2@OKHDFCBANK-TMBL0000123-109239390030-A4 PAPER</t>
  </si>
  <si>
    <t>UPI-GOOGLE INDIA SERVICE-GPAYRECHARGE@ICICI-ICIC0DC0099-109239505612-UPI</t>
  </si>
  <si>
    <t>MULTIPLE-SALARY-ARUNA-JULY-SAL.TXT</t>
  </si>
  <si>
    <t>NEFT DR-IDIB000A132-CAROLINE JOSHVA-NETBANK, MUM-HDFCN52025080594817033-RENT MAINTENANCE</t>
  </si>
  <si>
    <t>NEFT DR-KKBK0000468-ARYU ACADEMY-NETBANK, MUM-HDFCN52025080594848047-RENT MAINTENANCE</t>
  </si>
  <si>
    <t>UPI-XXXXXXXXXXX9053-UTIB0000016-109335230765-ARYU SYSTEM RENT</t>
  </si>
  <si>
    <t>UPI-KISHORE KUMAR  S-9944513575@PTSBI-SBIN0012780-109344155343-PETROL</t>
  </si>
  <si>
    <t>UPI-HOSTINGER PTE LTD-HOSTINGERPTELTD184.RZP@ICICI-ICIC0DC0099-109346924576-PAYMENTTOHOSTINGER</t>
  </si>
  <si>
    <t>UPI-T YUVARAJ-YUVA.TANYA@OKHDFCBANK-HDFC0003760-109555822916-UPI</t>
  </si>
  <si>
    <t>UPI-T YUVARAJ-YUVA.TANYA@OKHDFCBANK-HDFC0003760-109573968761-SHOOT LUNCH</t>
  </si>
  <si>
    <t>NEFT CR-INDB0000006-UPWORK ESCROW INC-YUVARAJ T-INDBN52025081106308351</t>
  </si>
  <si>
    <t>UPI-SWIGGY LIMITED-SWIGGYINSTAMART1ONLINE.GPAY@OKPAYAXIS-UTIB0000553-109628351204-UPI</t>
  </si>
  <si>
    <t>UPI-HOSTINGER PTE LTD-HOSTINGERPTELTD.RZP@ICICI-ICIC0DC0099-522311921730-PAY VIA RAZORPAY</t>
  </si>
  <si>
    <t>UPI-G  VIGNESH-VICKYVIGNESH.17.08.99-2@OKSBI-SBIN0001444-109668301720-UPI</t>
  </si>
  <si>
    <t>MULTIPLE-SALARY-EMP1-JULY-SAL.TXT</t>
  </si>
  <si>
    <t>UPI-ABDUL RAHMAN M-ABDULAR025@OKICICI-CNRB0000033-109674628935-UPI</t>
  </si>
  <si>
    <t>UPI-BHARATHWAJ S-BHARATHWAJB599-1@OKHDFCBANK-HDFC0001254-109674656229-UPI</t>
  </si>
  <si>
    <t>UPI-ROHITH R SHERWIN-SHERWINROHITH-1@OKSBI-SBIN0070016-109680998182-JULY MONTH STIPEND</t>
  </si>
  <si>
    <t>Rohith R Sherwin</t>
  </si>
  <si>
    <t>UPI-K SASI  KUMAR-KSASI5319-1@OKSBI-SBIN0000956-109685935628-UPI</t>
  </si>
  <si>
    <t>UPI-T YUVARAJ-YUVA.TANYA@OKHDFCBANK-HDFC0003760-109723473012-UPI</t>
  </si>
  <si>
    <t>UPI-GOOGLE INDIA DIGITAL-GPAYRECHARGE@OKPAYAXIS-UTIB0000553-109784735862-UPI</t>
  </si>
  <si>
    <t>NEFT CR-KKBK0000958-OCCD PRIVATE LIMITED-ARYU ENTERPRISES PRIVATE LIMITED-KKBKN62025081403506882</t>
  </si>
  <si>
    <t>OCCD Pvt Ltd</t>
  </si>
  <si>
    <t>UPI-EZHILARASU S-EZHILKING189@OKSBI-CNRB0000033-109807045756-JULY MONTH STIPEND</t>
  </si>
  <si>
    <t>UPI-MS KALAISELVI  K-KANNANSELVI130@OKHDFCBANK-CIUB0000467-109807096644-JULY MONTH STIPEND</t>
  </si>
  <si>
    <t>UPI-MANIKANDAN  S-MANIKANDANLIFESCIENCE@OKSBI-SBIN0005379-522653840883-MOHAMED ALI  IT RE</t>
  </si>
  <si>
    <t>contra</t>
  </si>
  <si>
    <t>UPI-CBDT-CBDT.PAYU@HDFCBANK-HDFC0MERUPI-109811501642-UPIINTENT</t>
  </si>
  <si>
    <t>UPI-MANIKANDAN  S-MANIKANDANLIFESCIENCE@OKSBI-SBIN0005379-522657258677-ALI RETURNS CHARGE</t>
  </si>
  <si>
    <t>UPI-MANIKANDAN  S-MANIKANDANLIFESCIENCE@OKSBI-SBIN0005379-522657284799-MAM RETURNS CHARGE</t>
  </si>
  <si>
    <t>UPI-ARUNKUMAR S-LORDCHOKANATHA@OKSBI-SIBL0000796-109813741740-JULY MONTH STIPEND</t>
  </si>
  <si>
    <t>UPI-T YUVARAJ-YUVA.TANYA@OKHDFCBANK-HDFC0003760-109861888169-UPI</t>
  </si>
  <si>
    <t>IMPS-522719125827-ARYU ENTERPRISES PRIVATE LIMITED-INDB-XXXXXXXX5106-P2AMOB</t>
  </si>
  <si>
    <t>UPI-HEYRAM M-HEYRAM334@OKHDFCBANK-KVBL0001278-109865754688-JULY MONTH SALARY</t>
  </si>
  <si>
    <t>UPI-VENU D-DVENU6383@OKHDFCBANK-BKID0008260-109865819802-JULY MONTH SALARY</t>
  </si>
  <si>
    <t>UPI-MR BARATH K-PAZHAYASORU101-2@OKHDFCBANK-IDIB000K087-109865901504-JULY MONTH SALARY</t>
  </si>
  <si>
    <t>UPI-RAGUL  B-EUGINRAHUL@OKSBI-SBIN0000975-109865986617-UPI</t>
  </si>
  <si>
    <t>UPI-MR IYYAPPAN A-IYYAPPANMECH678@OKSBI-IDIB000A088-109866049492-JULY MONTH STIPEND</t>
  </si>
  <si>
    <t>UPI-GOOGLE INDIA DIGITAL-GPAY-TV-INTERNET@OKPAYAXIS-UTIB0000553-109866506658-UPI</t>
  </si>
  <si>
    <t>MULTIPLE-SALARY-JUL-EMP-SAL.TXT</t>
  </si>
  <si>
    <t>UPI-ATRIA CONVERGENCE TE-ACTCORP1.PAYU@HDFCBANK-HDFC0MERUPI-101215602820-UPI TRANSACTION</t>
  </si>
  <si>
    <t>UPI-MRS BHUVANESWARI PAT-BHUVANA27601@OKSBI-IDIB000M132-109869883019-JULY MONTH STIPEND</t>
  </si>
  <si>
    <t>UPI-THILIPAN T-THILIP707-1@OKHDFCBANK-HDFC0003883-109869970232-JULY MONTH AWS WOR</t>
  </si>
  <si>
    <t>BHREHKB0TEKE73/EPFO</t>
  </si>
  <si>
    <t>UPI-T YUVARAJ-YUVA.TANYA@OKHDFCBANK-HDFC0003760-109881490513-KUTRALAM</t>
  </si>
  <si>
    <t>UPI-T YUVARAJ-YUVA.TANYA@OKHDFCBANK-HDFC0003760-109893294083-KUTTRALAM</t>
  </si>
  <si>
    <t>NEFT CR-INDB0000006-UPWORK ESCROW INC-ARUNA V-INDBN52025081607022855</t>
  </si>
  <si>
    <t>UPI-ANKY AI-ANKYAI548264.RZP@RXAIRTEL-AIRP0000011-109895872663-ANKYAIORDER70715</t>
  </si>
  <si>
    <t>UPI-MURUGAN M-MUNIAPPANMUNIAPPAN297-1@OKSBI-PUNB0792400-109898023528-TEA PAYMENT</t>
  </si>
  <si>
    <t>NEFT CR-INDB0000006-UPWORK ESCROW INC-YUVARAJ T-INDBN52025081607031888</t>
  </si>
  <si>
    <t>UPI-TANGEDCO-TANGEDCO@INDIANBK-IDIB000A089-109965993215-TANGEDCO PORTAL QR</t>
  </si>
  <si>
    <t>UPI-AIRTEL PAYMENTS BANK-AIRTELPAYMENTSBANKLIMI-8027499.PAYU@INDUS-INDB0MERCHA-100177330336-UPI TRANSACTION</t>
  </si>
  <si>
    <t>UPI-GOOGLE INDIA SERVICE-GPAYRECHARGE@ICICI-ICIC0DC0099-109979837139-UPI</t>
  </si>
  <si>
    <t>UPI-T YUVARAJ-YUVA.TANYA@OKHDFCBANK-HDFC0003760-109996751334-UPI</t>
  </si>
  <si>
    <t>NEFT CR-INDB0000006-UPWORK ESCROW INC-ARUNA V-INDBN52025081907327250</t>
  </si>
  <si>
    <t>UPI-MR BARATH K-PAZHAYASORU101-2@OKHDFCBANK-IDIB000K087-110037390394-ADVANCE</t>
  </si>
  <si>
    <t>UPI-GOODS AND SERVICES T-GOODSANDSERVICESTAXN.76088835@HDFCBANK-HDFC0MERUPI-101251113425-GSTN</t>
  </si>
  <si>
    <t>UPI-T YUVARAJ-YUVA.TANYA@OKHDFCBANK-HDFC0003760-110117670126-UPI</t>
  </si>
  <si>
    <t>UPI-SURESH KUMAR V-SURESHDS2513@OKAXIS-TMBL0000370-110164388985-UPI</t>
  </si>
  <si>
    <t>NEFT CR-INDB0000006-UPWORK ESCROW INC-ARUNA V-INDBN52025082207791576</t>
  </si>
  <si>
    <t>NEFT CR-INDB0000006-UPWORK ESCROW INC-YUVARAJ T-INDBN52025082207791558</t>
  </si>
  <si>
    <t>UPI-SURESH KUMAR V-SURESHDS2513@OKAXIS-TMBL0000370-110180777148-UPI</t>
  </si>
  <si>
    <t>UPI-HOSTINGER PTE LTD-HOSTINGERPTELTD.RZP@ICICI-ICIC0DC0099-523469771529-PAY VIA RAZORPAY</t>
  </si>
  <si>
    <t>UPI-T YUVARAJ-YUVA.TANYA@OKHDFCBANK-HDFC0003760-110209945637-UPI</t>
  </si>
  <si>
    <t>UPI-T YUVARAJ-YUVA.TANYA@OKHDFCBANK-HDFC0003760-110240873082-UPI</t>
  </si>
  <si>
    <t>UPI-T YUVARAJ-YUVA.TANYA@OKHDFCBANK-HDFC0003760-110279476437-UPI</t>
  </si>
  <si>
    <t>UPI-VENU D-DVENU6383@OKHDFCBANK-BKID0008260-110279502656-AMBUR TRAVEL EXPEN</t>
  </si>
  <si>
    <t>Ambur Stay and class</t>
  </si>
  <si>
    <t>IMPS-523814365023-ARUNA V-HDFC-XXXXXXXXXX6479-MEDICS RESEARCH PMTOOL FINAL PAYMENT</t>
  </si>
  <si>
    <t>Medics Research Pmtool</t>
  </si>
  <si>
    <t>UPI-VENU D-DVENU6383@OKHDFCBANK-BKID0008260-110362187187-UPI</t>
  </si>
  <si>
    <t>UPI-CBDT-CBDT.PAYU@HDFCBANK-HDFC0MERUPI-101297405210-UPI TRANSACTION</t>
  </si>
  <si>
    <t>For ITR - FY 2024-25</t>
  </si>
  <si>
    <t>UPI-SURESH KUMAR V-SURESHDS2513@OKAXIS-TMBL0000370-110381398588-UPI</t>
  </si>
  <si>
    <t>UPI-REKHAA ORGANICS-PAYTM.D86865186@PTA-UTIB0000022-110385481816-GANESH POOJA</t>
  </si>
  <si>
    <t>Ganesh Pooja</t>
  </si>
  <si>
    <t>UPI-THAMEEM ANSARI-GPAY-11258545858@OKBIZAXIS-UTIB0000553-110385982762-UPI</t>
  </si>
  <si>
    <t>UPI-RSK SEA FOODS-GPAY-11259832262@OKBIZAXIS-UTIB0000553-110386012833-UPI</t>
  </si>
  <si>
    <t>UPI-VENKATESAN FLOWER SH-GPAY-11265632910@OKBIZAXIS-UTIB0000553-110386147750-UPI</t>
  </si>
  <si>
    <t>UPI-VENKATESAN  N-Q792185665@YBL-YESB0YBLUPI-110386190799-UPI</t>
  </si>
  <si>
    <t>UPI-INFO EDGE INDIA LIMI-NAUKRI.QR8.PAYU@INDUS-INDB0MERCHA-110396836025-UPI</t>
  </si>
  <si>
    <t>UPI-GOOGLE INDIA SERVICE-GPAYRECHARGE@ICICI-ICIC0DC0099-110401092113-UPI</t>
  </si>
  <si>
    <t>UPI-RAHUL  R-RAHUL.RAJIV2001-1@OKSBI-SBIN0012877-110405420542-INCENTIVE FROM ARY</t>
  </si>
  <si>
    <t>IMPS-523918145366-YUVARAJ T-HDFC-XXXXXXXXXX5241-OD RETURN</t>
  </si>
  <si>
    <t>UPI-INFO EDGE INDIA LIMI-NAUKRI.QR8.PAYU@INDUS-INDB0MERCHA-110478126675-DIGITAL MARKETING</t>
  </si>
  <si>
    <t>UPI-GOOGLE INDIA SERVICE-GPAYRECHARGE@ICICI-ICIC0DC0099-110495047164-UPI</t>
  </si>
  <si>
    <t>UPI-SBIMOPS-SBIMOPS@SBI-SBIN0016209-110498499642-MOPSUPITXN</t>
  </si>
  <si>
    <t>UPI-MURUGAN M-MUNIAPPANMUNIAPPAN297-1@OKSBI-PUNB0792400-110504263235-TEA PAYMENT</t>
  </si>
  <si>
    <t>UPI-MR IYYAPPAN A-IYYAPPANMECH678@OKSBI-IDIB000A088-110544314839-VIGNESH RELIEVING</t>
  </si>
  <si>
    <t>UPI-GOOGLE PLAY-PLAYSTORE@AXISBANK-UTIB0000553-215633732445-MANDATEEXECUTE</t>
  </si>
  <si>
    <t>UPI-GOOGLE PAY-GOOGLEPAY@AXISBANK-UTIB0000004-215690612445-UPI</t>
  </si>
  <si>
    <t>UPI-BALACHANDAR JEGADEES-MATHEWBALA0010-1@OKHDFCBANK-HDFC0001297-110631325357-UPI</t>
  </si>
  <si>
    <t>Zepto for gettings DSC</t>
  </si>
  <si>
    <t>UPI-T YUVARAJ-YUVA.TANYA@OKHDFCBANK-HDFC0003760-110657632874-UPI</t>
  </si>
  <si>
    <t>UPI-CAKE WAVES  ARUMBAKK-Q05017268@YBL-YESB0YBLUPI-110666108484-UPI</t>
  </si>
  <si>
    <t>UPI-SHIVA SHANKAR P-SHIVASHANKAR.PAULRAJ-3@OKAXIS-UTIB0000866-110683877649-UPI</t>
  </si>
  <si>
    <t>UPI-T YUVARAJ-YUVA.TANYA@OKHDFCBANK-HDFC0003760-110690611402-UPI</t>
  </si>
  <si>
    <t>NEFT CR-INDB0000006-ARYU ENTERPRISES PRIVATE LIMITED-ARYU ENTERPRISES-INDBN52025090309376117</t>
  </si>
  <si>
    <t>MULTIPLE-SALARY-DIR-AUG-SAL.TXT</t>
  </si>
  <si>
    <t>UPI-SARANRAJ MUTHUSAMY S-ITSSARANRAAJ-2@OKSBI-FDRL0001657-110760235531-EB BILL</t>
  </si>
  <si>
    <t>UPI-GOOGLE INDIA DIGITAL-GPAYRECHARGE@OKPAYAXIS-UTIB0000553-110761528095-UPI</t>
  </si>
  <si>
    <t>UPI-SRI SUDALAI MADASWAM-PAYTM.S1L8D2L@PTY-YESB0MCHUPI-110789621063-PETROL ALLOWANCE</t>
  </si>
  <si>
    <t>UPI-MR IYYAPPAN A-IYYAPPANMECH678@OKSBI-IDIB000A088-110872258010-CAKE JOHN</t>
  </si>
  <si>
    <t>UPI-T YUVARAJ-YUVA.TANYA@OKHDFCBANK-HDFC0003760-111006862809-CLIENT LUNCH</t>
  </si>
  <si>
    <t>Client Lunch</t>
  </si>
  <si>
    <t>NEFT CR-INDB0000006-UPWORK ESCROW INC-ARUNA V-INDBN52025090900231744</t>
  </si>
  <si>
    <t>UPI-STATIONERY PARK-PAYTMQR64CK8A@PTYS-YESB0PTMUPI-111020090139-STATIONERY</t>
  </si>
  <si>
    <t>UPI-T YUVARAJ-YUVA.TANYA@OKHDFCBANK-HDFC0003760-111028712135-UPI</t>
  </si>
  <si>
    <t>UPI-VANITHA S  -SVANITHA764@OKSBI-SBIN0011604-111043803805-STATIONERY</t>
  </si>
  <si>
    <t>BHDF2PG0VSEP5Y/BILLDKPLAYSTOREGOOGL</t>
  </si>
  <si>
    <t>UPI-KISHOREKUMAR SUNDARA-9944513575@PTSBI-FDRL0007777-111052155658-AVINSAA CLIENT GIF</t>
  </si>
  <si>
    <t>UPI-ISHWARIYA SWEETS AND-PAYTMQR281005050101FE7OEZ8GU53B@PAYTM-YESB0PTMUPI-111059379058-UPI</t>
  </si>
  <si>
    <t>Cost of refreshments (Sweets) for staff</t>
  </si>
  <si>
    <t>UPI-T YUVARAJ-YUVA.TANYA@OKHDFCBANK-HDFC0003760-111061394099-UPI</t>
  </si>
  <si>
    <t>NEFT CR-INDB0000006-UPWORK ESCROW INC-YUVARAJ T-INDBN52025091000429407</t>
  </si>
  <si>
    <t>MULTIPLE-SALARY-HARITHA.TXT</t>
  </si>
  <si>
    <t>NEFT DR-IDIB000A132-CAROLINE JOSHVA-NETBANK, MUM-HDFCN52025091066744041-RENT MAINTENANCE</t>
  </si>
  <si>
    <t>UPI-T YUVARAJ-YUVA.TANYA@OKHDFCBANK-HDFC0003760-111079082818-HOUSE EXPENSE</t>
  </si>
  <si>
    <t>UPI-T YUVARAJ-9994715106@YESCRED-HDFC0003760-111089217807-UPI</t>
  </si>
  <si>
    <t>UPI-MUNIAPPAN M-MUNIAPPANMUNIAPPAN297@OKSBI-CNRB0000033-111090715429-UPI</t>
  </si>
  <si>
    <t>IMPS-525410144748-ARYU ACADEMY-KKBK-XXXXXX5749-RENT MAINTENANCE</t>
  </si>
  <si>
    <t>UPI-GOOGLE INDIA SERVICE-GPAYRECHARGE@ICICI-ICIC0DC0099-111097163751-UPI</t>
  </si>
  <si>
    <t>50200056146700-TPT-AC REPAIR CHARGES-SMART COOL HOME</t>
  </si>
  <si>
    <t>IMPS-525513916332-T YUVARAJ-HDFC-XXXXXXXXXX5241-LOAN FROM DIRECTOR</t>
  </si>
  <si>
    <t>05125136386240/ESIC</t>
  </si>
  <si>
    <t>ER&amp;EE  Contribution Aug-25 Month ESI- Retuns</t>
  </si>
  <si>
    <t>UPI-CBDT-CBDT.PAYU@HDFCBANK-HDFC0MERUPI-101454628896-UPI TRANSACTION</t>
  </si>
  <si>
    <t>Advance tax paid for 2Q</t>
  </si>
  <si>
    <t>BHREGBL0W3LIH5/EPFO</t>
  </si>
  <si>
    <t>ER&amp;EE  Contribution Aug-25 Month PF- ECR Retuns - For Directors &amp; Employees</t>
  </si>
  <si>
    <t>NEFT DR-UTIB0000016-STAR ENGINEERING-NETBANK, MUM-HDFCN52025091372657431-SYSTEM RENT</t>
  </si>
  <si>
    <t>UPI-P RABIYA BANU-RABIYABANU06@OKAXIS-IBKL0000708-525636804646-UPI</t>
  </si>
  <si>
    <t>HRMS Tool</t>
  </si>
  <si>
    <t>UPI-MR MANJUNATHAN S-MANJUNATHANMANJU6619-1@OKICICI-IDIB000A132-111236745679-UPI</t>
  </si>
  <si>
    <t>UPI-ZEPTO MARKETPLACE PR-ZEPTO.PAYU@AXISBANK-UTIB0000100-111245870482-UPI</t>
  </si>
  <si>
    <t>Zepto for gettings office Things</t>
  </si>
  <si>
    <t>UPI-JANANI D-JANUD181099-1@OKICICI-CNRB0000033-111247277806-UPI</t>
  </si>
  <si>
    <t>UPI-CSK CHICKEN SHAWARMA-VYAPAR.172193602573@HDFCBANK-HDFC0MERUPI-111257672554-FOOD</t>
  </si>
  <si>
    <t>NEFT DR-PUNB0010400-STORYRISE-NETBANK, MUM-HDFCN52025091574183309-EDITING 11 VIDEOS</t>
  </si>
  <si>
    <t>UPI-ATRIA CONVERGENCE TE-ACTCORP1.PAYU@HDFCBANK-HDFC0MERUPI-111279218221-UPIINTENT</t>
  </si>
  <si>
    <t>UPI-GOOGLE INDIA DIGITAL-GPAY-TV-INTERNET@OKPAYAXIS-UTIB0000553-111279267474-UPI</t>
  </si>
  <si>
    <t>UPI-BALACHANDAR J-MATHEWBALA0010@OKICICI-IOBA0000157-111289589648-HOUSE KEEPING</t>
  </si>
  <si>
    <t>Office Cleaning Maintenance</t>
  </si>
  <si>
    <t>UPI-ARUNKUMAR S-LORDCHOKANATHA@OKSBI-SIBL0000796-111297523696-UPI</t>
  </si>
  <si>
    <t>IMPS-525909731763-ARYU ENTERPRISES PRIVATE LIMITED-INDB-XXXXXXXX5106-P2AMOB</t>
  </si>
  <si>
    <t>UPI-GOOGLE INDIA SERVICE-GPAYRECHARGE@ICICI-ICIC0DC0099-111320860796-UPI</t>
  </si>
  <si>
    <t>UPI-ABDUL RAHMAN M-ABDULAR025@OKICICI-CNRB0000033-111325558435-AUGUST MONTH SALAR</t>
  </si>
  <si>
    <t>UPI-BHARATHWAJ S-BHARATHWAJB599-1@OKHDFCBANK-HDFC0001254-111325582508-AUGUST MONTH SALAR</t>
  </si>
  <si>
    <t>UPI-MR IYYAPPAN A-IYYAPPANMECH678@OKSBI-IDIB000A088-111325622627-AUGUST MONTH SALAR</t>
  </si>
  <si>
    <t>UPI-ARUNKUMAR S-LORDCHOKANATHA@OKSBI-SIBL0000796-111325655850-AUGUST MONTH STIPE</t>
  </si>
  <si>
    <t>UPI-MR KOMADURAI P-KOMADURAI2002@OKHDFCBANK-IDIB000A088-111325940525-AUGUST MONTH STIPE</t>
  </si>
  <si>
    <t>Komadhurai</t>
  </si>
  <si>
    <t>UPI-SUBA SHREE S-SUBASHREE.S1904@OKAXIS-IOBA0001348-111325986514-AUGUST MONTH STIPE</t>
  </si>
  <si>
    <t>Subashree</t>
  </si>
  <si>
    <t>UPI-MR GOKULNATH M-NGOKUL851-3@OKAXIS-IDIB000P169-111326038908-AUGUST MONTH STIPE</t>
  </si>
  <si>
    <t>GokulNath</t>
  </si>
  <si>
    <t>UPI-JAISRI S-JAISRISUBRAMANIAN99-1@OKICICI-ICIC0002408-111326169141-AUGUST STIPEND FRO</t>
  </si>
  <si>
    <t>Jaisri S</t>
  </si>
  <si>
    <t>UPI-EZHILARASU S-EZHILKING189@OKSBI-CNRB0000033-111326881270-AUGUST MONTH STIPE</t>
  </si>
  <si>
    <t>MULTIPLE-SALARY-AUGU-KANI.TXT</t>
  </si>
  <si>
    <t>UPI-MRS BHUVANESWARI PAT-BHUVANA27601@OKSBI-IDIB000M132-111327755488-AUGUST MONTH STIPE</t>
  </si>
  <si>
    <t>MULTIPLE-SALARY-AUG-EMP.TXT</t>
  </si>
  <si>
    <t>UPI-HEYRAM M-HEYRAM334@OKHDFCBANK-KVBL0001278-111339183995-AUGUST MONTH SALAR</t>
  </si>
  <si>
    <t>UPI-RAGUL  B-EUGINRAHUL@OKSBI-SBIN0000975-111339838984-AUGUST MONTB STIPE</t>
  </si>
  <si>
    <t>UPI-K ROJA-8520956775@YBL-HDFC0000261-111339966120-AUGUST MONTH STIPE</t>
  </si>
  <si>
    <t>Roja</t>
  </si>
  <si>
    <t>UPI-MR BARATH K-PAZHAYASORU101-2@OKHDFCBANK-IDIB000K087-111342151476-AUGUST MONTH SALAR</t>
  </si>
  <si>
    <t>ATW-403875XXXXXX5052-COTNU025-CHENNAI</t>
  </si>
  <si>
    <t>Cash Withdrawl</t>
  </si>
  <si>
    <t>ATW-403875XXXXXX5052-S1ACCN65-CHENNAI</t>
  </si>
  <si>
    <t>UPI-SURESH KUMAR V-SURESHDS2513@OKAXIS-TMBL0000370-111356035010-UPI</t>
  </si>
  <si>
    <t>UPI-KISHOREKUMAR SUNDARA-9944513575@PTSBI-UTIB0002146-111409402478-PENDING SALARY FOR</t>
  </si>
  <si>
    <t>Kishore Kumar</t>
  </si>
  <si>
    <t>UPI-RAMBHARATH JEYAPANDI-RAMBHARATH123@YBL-HDFC0001277-111410509243-BATTER</t>
  </si>
  <si>
    <t>Rambharath</t>
  </si>
  <si>
    <t>UPI-MS KALAISELVI  K-KANNANSELVI130@OKHDFCBANK-CIUB0000467-111414418748-AUGUST MONTH STIPE</t>
  </si>
  <si>
    <t>UPI-ANKYAI-ANKY.AI@IDFCBANK-IDFB0040197-111425661273-UPI</t>
  </si>
  <si>
    <t>UPI-MR IYYAPPAN A-IYYAPPANMECH678@OKSBI-IDIB000A088-111428158943-CAKE</t>
  </si>
  <si>
    <t>UPI-INAAMULHASAN-AMIZU8495@OKSBI-KVBL0001257-111456517192-LAPTOP RAM AND HAR</t>
  </si>
  <si>
    <t>Computer &amp; Peripherals (Ram Updated)</t>
  </si>
  <si>
    <t>UPI-KISHOREKUMAR SUNDARA-9944513575@PTSBI-UTIB0002146-111474429896-ACADEMY SHOOT</t>
  </si>
  <si>
    <t>UPI-ZEPTO MARKETPLACE-ZEPTONOW-2.BDPG@HDFCBANK-HDFC0MERUPI-111506535171-UPI</t>
  </si>
  <si>
    <t>UPI-GOODS AND SERVICES T-GOODSANDSERVICESTAXN.76088835@HDFCBANK-HDFC0MERUPI-101503878482-GSTN</t>
  </si>
  <si>
    <t>NEFT CR-INDB0000006-UPWORK ESCROW INC-YUVARAJ T-INDBN52025092201961183</t>
  </si>
  <si>
    <t>50200075882112-TPT-ESI REGISTRATIONS-SVARGA MANAGEMENT SER PVT LTD</t>
  </si>
  <si>
    <t>ESI Registration Svarga Management Service Pvt Ltd</t>
  </si>
  <si>
    <t>UPI-SATHISHKUMAR-SATHISHKUMARFIVESTAR5@OKSBI-BARB0VJASHO-111614492437-AUTO</t>
  </si>
  <si>
    <t>Auto</t>
  </si>
  <si>
    <t>UPI-T YUVARAJ-9994715106@YESCRED-HDFC0003760-111634498040-LIC</t>
  </si>
  <si>
    <t>UPI-GOOGLE PLAY-PLAYSTORE@AXISBANK-UTIB0000553-689656142665-MANDATEEXECUTE</t>
  </si>
  <si>
    <t>UPI-MSAMARA STORES PRIVA-IBKPOS.EP035361@ICICI-ICIC0000004-111668746362-OFFICE ITEMS</t>
  </si>
  <si>
    <t>MULTIPLE-SALARY-VENU-SAL.TXT</t>
  </si>
  <si>
    <t>UPI-GOOGLE INDIA DIGITAL-GPAYRECHARGE@OKPAYAXIS-UTIB0000553-111734259063-UPI</t>
  </si>
  <si>
    <t>UPI-MR IYYAPPAN A-IYYAPPANMECH678@OKSBI-IDIB000A088-111749171468-BALA CAKE</t>
  </si>
  <si>
    <t>50200082960980-TPT-DSC FEES DIRECTORS-LEXICON TAX SOLUTIONS</t>
  </si>
  <si>
    <t>DSC for Lexicon Tax Solutions</t>
  </si>
  <si>
    <t>UPI-T YUVARAJ-9994715106@YESCRED-HDFC0003760-111769603800-LID</t>
  </si>
  <si>
    <t>UPI-KISHOREKUMAR SUNDARA-KISHORE-8@PTAXIS-UTIB0002146-526969119920-SENT USING PAYTM U</t>
  </si>
  <si>
    <t>NEFT CR-INDB0000006-UPWORK ESCROW INC-YUVARAJ T-INDBN52025092602537951</t>
  </si>
  <si>
    <t>UPI-T YUVARAJ-9994715106@YESCRED-HDFC0003760-111816355696-UPI</t>
  </si>
  <si>
    <t>.IMPS P2P 525410144748#11/09/2025 110925-MIR2626809403170</t>
  </si>
  <si>
    <t>UPI-KOTTAI MUTHU KUMAR M-M.KOTTAIMUTHU13@OKICICI-IOBA0000239-111918129485-MOUSE AND MONITOR</t>
  </si>
  <si>
    <t>Mouse Purchase for Office System</t>
  </si>
  <si>
    <t>UPI-T YUVARAJ-YUVA.TANYA@OKHDFCBANK-HDFC0003760-111965056704-PROFESSIONAL TAX</t>
  </si>
  <si>
    <t>UPI-T YUVARAJ-YUVA.TANYA@OKHDFCBANK-HDFC0003760-111965112426-PROFESSIONAL TAX</t>
  </si>
  <si>
    <t>UPI-T YUVARAJ-YUVA.TANYA@OKHDFCBANK-HDFC0003760-111965969275-PROFESSIONAL TAX</t>
  </si>
  <si>
    <t>UPI-SWIGGY LIMITED-SWIGGY1ONLINE.GPAY@OKPAYAXIS-UTIB0000553-111969613778-UPI</t>
  </si>
  <si>
    <t>UPI-SALIHA BEGUM-Q499408795@YBL-YESB0YBLUPI-111978439427-UPI</t>
  </si>
  <si>
    <t>IMPS-527323836073-ARYU ENTERPRISES PRIVATE LIMITED-INDB-XXXXXXXX5106-P2AMOB</t>
  </si>
  <si>
    <t>MULTIPLE-SALARY-YUVARAJ.TXT</t>
  </si>
  <si>
    <t>GST/BANK REFERENCE NO: R2527467167895/CIN NO: HDFC25103300001640</t>
  </si>
  <si>
    <t>APRJUN25 INSTAALERTCHG 32 SMS 070725-MIR2627830568036</t>
  </si>
  <si>
    <t>NEFT DR-IDIB000A132-CAROLINE JOSHVA-NETBANK, MUM-HDFCN52025100613583430-RENT MAINTENANCE</t>
  </si>
  <si>
    <t>UPI-RAHUL R-RAHUL.RAJIV2001-1@OKSBI-SBIN0012877-112242666208-SEPTEMBER MONTH IN</t>
  </si>
  <si>
    <t>Rahul</t>
  </si>
  <si>
    <t>IMPS-527912122780-ACADEMY-KKBK-XXXXXX5749-RENT MAINTENANCE</t>
  </si>
  <si>
    <t>UPI-T YUVARAJ-YUVA.TANYA@OKHDFCBANK-HDFC0003760-112246224163-PAYMENT FOR PROFES</t>
  </si>
  <si>
    <t>NEFT CR-INDB0000006-UPWORK ESCROW INC-YUVARAJ T-INDBN52025100604010097</t>
  </si>
  <si>
    <t>UPI-GOOGLE INDIA DIGITAL-GOOG-PAYMENTS@AXISBANK-UTIB0000553-936838812805-UPI</t>
  </si>
  <si>
    <t>Google reward</t>
  </si>
  <si>
    <t>UPI-ARAVINDAN M-ARAVINDASHA26@OKSBI-SBIN0070129-112282250160-NET</t>
  </si>
  <si>
    <t>UPI-VANITHA S-SVANITHA764-1@OKICICI-SBIN0011604-564662854379-INTEREST</t>
  </si>
  <si>
    <t>UPI-T YUVARAJ-9994715106@YESCRED-HDFC0003760-112298805896-VANITHA AMOUNT</t>
  </si>
  <si>
    <t>BHDFUQB0YMGZ1X/BILLDKPLAYSTOREGOOGL</t>
  </si>
  <si>
    <t>NEFT DR-PUNB0010400-STORYRISE-NETBANK, MUM-HDFCN52025100719030879-EDITING 15 VIDEOS</t>
  </si>
  <si>
    <t>Story Rise 15 Video Editing</t>
  </si>
  <si>
    <t>NEFT DR-UTIB0000016-STAR ENGINEERING-NETBANK, MUM-HDFCN52025100821146087-AVINSAA AUG SY REN</t>
  </si>
  <si>
    <t>DEBIT CARD ANNUAL FEE-SEP-2025 160925-MIR2628347990197</t>
  </si>
  <si>
    <t>Debit Card Charges</t>
  </si>
  <si>
    <t>UPI-MURUGAN M-MUNIAPPANMUNIAPPAN297-1@OKICICI-PUNB0792400-112428874782-SEPTEMBER MONTH TE</t>
  </si>
  <si>
    <t>UPI-VAISHNAVI MAHENDRABH-UMARVANSHIVAISHNAVI@OKSBI-BARB0UDHNAX-112441435396-UPI</t>
  </si>
  <si>
    <t>Vaishnavi</t>
  </si>
  <si>
    <t>Tax paid to Govt (Tax) (1st instl)</t>
  </si>
  <si>
    <t>UPI-GOOGLE INDIA DIGITAL-GPAYRECHARGE@OKPAYAXIS-UTIB0000553-112450985988-UPI</t>
  </si>
  <si>
    <t>UPI-ENTERPRISE BROADBAND-PAYTM-57621217@PTYBL-YESB0PTMUPI-112594874734-UPI</t>
  </si>
  <si>
    <t>UPI-GOOGLE INDIA DIGITAL-GPAY-TV-INTERNET@OKPAYAXIS-UTIB0000553-112594979034-UPI</t>
  </si>
  <si>
    <t>UPI-GOOGLE INDIA DIGITAL-GPAY-TV-INTERNET@OKPAYAXIS-UTIB0000553-112595063054-UPI</t>
  </si>
  <si>
    <t>UPI-ZEPTO MARKETPLACE-ZEPTONOW-2.BDPG@HDFCBANK-HDFC0MERUPI-112595425203-UPI</t>
  </si>
  <si>
    <t>UPI-TANGEDCO-TANGEDCO@INDIANBK-IDIB000A089-112595756650-TANGEDCO PORTAL QR</t>
  </si>
  <si>
    <t>UPI-TANGEDCO-TANGEDCO@INDIANBK-IDIB000A089-112595916423-TANGEDCO PORTAL QR</t>
  </si>
  <si>
    <t>IMPS-528618981102-T YUVARAJ-HDFC-XXXXXXXXXX5241-INVESTOR YUVARAJ</t>
  </si>
  <si>
    <t>MULTIPLE-SALARY-SEPTEMBER-25.TXT</t>
  </si>
  <si>
    <t>UPI-ARUNKUMAR S-LORDCHOKANATHA@OKSBI-SIBL0000796-112609729092-UPI</t>
  </si>
  <si>
    <t>UPI-JAISRI S-JAISRISUBRAMANIAN99-1@OKICICI-ICIC0002408-112609796225-UPI</t>
  </si>
  <si>
    <t>UPI-K ROJA-8520956775@YBL-HDFC0000261-112610001791-UPI</t>
  </si>
  <si>
    <t>UPI-SUBA SHREE S-SUBASHREE.S1904@OKAXIS-IOBA0001348-112610040587-UPI</t>
  </si>
  <si>
    <t>UPI-MR IYYAPPAN A-IYYAPPANMECH678@OKICICI-IDIB000A088-112625836211-UPI</t>
  </si>
  <si>
    <t>UPI-SELECTION HALL-39428201@UBIN-UBIN0807826-112640765701-UPI</t>
  </si>
  <si>
    <t>un known transaction</t>
  </si>
  <si>
    <t>UPI-VNR GARMENTS-39428401@UBIN-UBIN0807826-112642632937-UPI</t>
  </si>
  <si>
    <t>05125141014873/ESIC</t>
  </si>
  <si>
    <t>ER&amp;EE Contribution Sep-25 Month ESI- Retuns</t>
  </si>
  <si>
    <t>UPI-J MOHAMED ALI-JABARALI2009-2@OKAXIS-HDFC0000636-528773473223-UPI</t>
  </si>
  <si>
    <t>Website Maintenance</t>
  </si>
  <si>
    <t>UPI-SURESH KUMAR V-SURESHDS2513@OKAXIS-TMBL0000370-112723448444-UPI</t>
  </si>
  <si>
    <t>NEFT DR-UTIB0000016-STAR ENGINEERING-NETBANK, MUM-HDFCN52025101640603715-SYSTEM RENT</t>
  </si>
  <si>
    <t>UPI-T YUVARAJ-9994715106@YESCRED-HDFC0003760-112770475231-RETURN TO INVESTOR</t>
  </si>
  <si>
    <t>Repayment of Loan</t>
  </si>
  <si>
    <r>
      <rPr>
        <rFont val="Arial"/>
        <color rgb="FF1155CC"/>
        <u/>
      </rPr>
      <t>UPI-PSSAGENCIES-PSSAGENCIES.IBZ@ICICI-ICIC0000000-529008660444-UPI PAY</t>
    </r>
  </si>
  <si>
    <t>BHREA370ZMLZJB/EPFO</t>
  </si>
  <si>
    <t>ER&amp;EE Contribution Sep-25 Month PF- ECR Retuns - For Directors &amp; Employees</t>
  </si>
  <si>
    <t>IMPS-529111773911-ARYU ENTERPRISES PRIVATE LIMITED-INDB-XXXXXXXX5106-P2AMOB</t>
  </si>
  <si>
    <t>GST/BANK REFERENCE NO: R2529167558714/CIN NO: HDFC25103300453890</t>
  </si>
  <si>
    <t>50100039425241-TPT-LOAN REPAYMENT-T YUVARAJ</t>
  </si>
  <si>
    <t>UPI-RAHUL R-RAHUL.RAJIV2001-1@OKSBI-SBIN0012877-112847909447-CAKE PRADEEP</t>
  </si>
  <si>
    <t>UPI-ISHWARIYA SWEETS AND-PAYTMQR281005050101FE7OEZ8GU53B@PAYTM-YESB0PTMUPI-112848067125-EMPLOYEE SWEET</t>
  </si>
  <si>
    <t>Cost of Sweets for employee Diwali 'celebrations</t>
  </si>
  <si>
    <t>UPI-BHARATHWAJ S-BHARATHWAJB599-1@OKHDFCBANK-HDFC0001254-112848991589-SWEET</t>
  </si>
  <si>
    <t>UPI-MR KOMADURAI P-KOMADURAI2002@OKHDFCBANK-IDIB000A088-112851051879-SEPTEMBER MONTH SA</t>
  </si>
  <si>
    <t>MULTIPLE-SALARY-ARUNA-SEP-SALARY.TXT</t>
  </si>
  <si>
    <t>IMPS-529211173482-YUVARAJ T-HDFC-XXXXXXXXXX5241-INVESTOR RETURN AMOU</t>
  </si>
  <si>
    <t>NEFT CR-INDB0000006-UPWORK ESCROW INC-ARUNA V-INDBN52025102006505944</t>
  </si>
  <si>
    <t>UPI-GOODS AND SERVICES T-GOODSANDSERVICESTAXN.76088835@HDFCBANK-HDFC0MERUPI-101754922919-GSTN</t>
  </si>
  <si>
    <t>UPI-T YUVARAJ-YUVA.TANYA@OKHDFCBANK-HDFC0003760-113012794274-UPI</t>
  </si>
  <si>
    <t>UPI-HOSTINGERPTELTD-HOSTINGERPTELTD253083.RZPREC@RXAIRTEL-AIRP0000011-529709610576-MANDATE</t>
  </si>
  <si>
    <t>UPI-CREDIT INFORMATION B-TRANSUNIONCIBILWL@HDFCBANK-HDFC0MERUPI-113164625984-UPI</t>
  </si>
  <si>
    <t>UPI-SURESH KUMAR V-SURESHDS2513@OKAXIS-TMBL0000370-113244390347-UPI</t>
  </si>
  <si>
    <t>UPI-RAHUL R-RAHUL.RAJIV2001-1@OKSBI-SBIN0012877-113245539055-INCENTIVE FROM ARY</t>
  </si>
  <si>
    <t>UPI-T YUVARAJ-YUVA.TANYA@OKHDFCBANK-HDFC0003760-113255315054-UPI</t>
  </si>
  <si>
    <t>UPI-S POOJA-PAYTM.S1QCYK2@PTY-YESB0MCHUPI-113268737016-UPI</t>
  </si>
  <si>
    <t>UPI-GOOGLE PLAY-PLAYSTORE@AXISBANK-UTIB0000553-533126083015-MANDATEEXECUTE</t>
  </si>
  <si>
    <t>Mandate Executive</t>
  </si>
  <si>
    <t>UPI-T YUVARAJ-YUVA.TANYA@OKHDFCBANK-HDFC0003760-113303080367-UPI</t>
  </si>
  <si>
    <t>.IMPS P2P 527912122780#06/10/2025 061025-MIR2629502400870</t>
  </si>
  <si>
    <t>NEFT CR-INDB0000006-UPWORK ESCROW INC-YUVARAJ T-INDBN52025102907334285</t>
  </si>
  <si>
    <t>50100039425241-TPT-RETURN TO INVESTOR-T YUVARAJ</t>
  </si>
  <si>
    <t>UPI-ANKYAI-ANKY.AI@IDFCBANK-IDFB0040197-113349771255-UPI</t>
  </si>
  <si>
    <t>UPI-T YUVARAJ-YUVA.TANYA@OKHDFCBANK-HDFC0003760-113425342842-RETURN</t>
  </si>
  <si>
    <t>Sum of Deposit Amt.</t>
  </si>
  <si>
    <t>Sum of Withdrawal Amt.</t>
  </si>
  <si>
    <t>Row Labels</t>
  </si>
  <si>
    <t>1,03,006</t>
  </si>
  <si>
    <t>13-10-2025</t>
  </si>
  <si>
    <t>1,65,000</t>
  </si>
  <si>
    <t>1,29,777</t>
  </si>
  <si>
    <t>14-10-2025</t>
  </si>
  <si>
    <t>16-10-2025</t>
  </si>
  <si>
    <t>17-10-2025</t>
  </si>
  <si>
    <t>UPI-PSSAGENCIES-PSSAGENCIES.IBZ@ICICI-ICIC0000000-529008660444-UPI PAY</t>
  </si>
  <si>
    <t>1,00,000</t>
  </si>
  <si>
    <t>18-10-2025</t>
  </si>
  <si>
    <t>1,31,089</t>
  </si>
  <si>
    <t>1,15,000</t>
  </si>
  <si>
    <t>19-10-2025</t>
  </si>
  <si>
    <t>20-10-2025</t>
  </si>
  <si>
    <t>21-10-2025</t>
  </si>
  <si>
    <t>24-10-2025</t>
  </si>
  <si>
    <t>25-10-2025</t>
  </si>
  <si>
    <t>27-10-2025</t>
  </si>
  <si>
    <t>28-10-2025</t>
  </si>
  <si>
    <t>29-10-2025</t>
  </si>
  <si>
    <t>31-10-2025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</si>
</sst>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_ * #,##0_ ;_ * \-#,##0_ ;_ * &quot;-&quot;??_ ;_ @_ "/>
    <numFmt numFmtId="166" formatCode="mm-dd-yyyy"/>
    <numFmt numFmtId="167" formatCode="m-d-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00000"/>
      <name val="Arial"/>
    </font>
    <font/>
    <font>
      <color rgb="FF000000"/>
      <name val="Arial"/>
    </font>
    <font>
      <b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000000"/>
      <name val="Calibri"/>
    </font>
    <font>
      <sz val="10.0"/>
      <color theme="1"/>
      <name val="Calibri"/>
    </font>
    <font>
      <color rgb="FFFF0000"/>
      <name val="Arial"/>
    </font>
    <font>
      <color rgb="FF000000"/>
      <name val="Calibri"/>
    </font>
    <font>
      <b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8"/>
        <bgColor theme="8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CE6F1"/>
        <bgColor rgb="FFDCE6F1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bottom style="thin">
        <color rgb="FF95B3D7"/>
      </bottom>
    </border>
    <border>
      <top style="thin">
        <color rgb="FF95B3D7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horizontal="left" readingOrder="0" shrinkToFit="0" wrapText="0"/>
    </xf>
    <xf borderId="4" fillId="2" fontId="1" numFmtId="0" xfId="0" applyAlignment="1" applyBorder="1" applyFill="1" applyFont="1">
      <alignment shrinkToFit="0" wrapText="1"/>
    </xf>
    <xf borderId="4" fillId="2" fontId="1" numFmtId="0" xfId="0" applyBorder="1" applyFont="1"/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left" readingOrder="0" shrinkToFit="0" wrapText="0"/>
    </xf>
    <xf borderId="4" fillId="0" fontId="4" numFmtId="0" xfId="0" applyAlignment="1" applyBorder="1" applyFont="1">
      <alignment horizontal="left" readingOrder="0" shrinkToFit="0" wrapText="0"/>
    </xf>
    <xf borderId="4" fillId="0" fontId="4" numFmtId="0" xfId="0" applyAlignment="1" applyBorder="1" applyFont="1">
      <alignment horizontal="center" readingOrder="0" shrinkToFit="0" wrapText="0"/>
    </xf>
    <xf borderId="4" fillId="0" fontId="4" numFmtId="9" xfId="0" applyAlignment="1" applyBorder="1" applyFont="1" applyNumberFormat="1">
      <alignment horizontal="center" readingOrder="0" shrinkToFit="0" wrapText="0"/>
    </xf>
    <xf borderId="4" fillId="0" fontId="5" numFmtId="0" xfId="0" applyAlignment="1" applyBorder="1" applyFont="1">
      <alignment horizontal="left" readingOrder="0" shrinkToFit="0" wrapText="1"/>
    </xf>
    <xf borderId="4" fillId="0" fontId="4" numFmtId="9" xfId="0" applyAlignment="1" applyBorder="1" applyFont="1" applyNumberFormat="1">
      <alignment horizontal="right" readingOrder="0" shrinkToFit="0" wrapText="0"/>
    </xf>
    <xf borderId="4" fillId="0" fontId="4" numFmtId="0" xfId="0" applyAlignment="1" applyBorder="1" applyFont="1">
      <alignment horizontal="left" readingOrder="0" shrinkToFit="0" wrapText="0"/>
    </xf>
    <xf borderId="4" fillId="0" fontId="4" numFmtId="0" xfId="0" applyAlignment="1" applyBorder="1" applyFont="1">
      <alignment horizontal="left" readingOrder="0" shrinkToFit="0" wrapText="1"/>
    </xf>
    <xf borderId="4" fillId="0" fontId="4" numFmtId="3" xfId="0" applyAlignment="1" applyBorder="1" applyFont="1" applyNumberFormat="1">
      <alignment horizontal="left" readingOrder="0" shrinkToFit="0" wrapText="0"/>
    </xf>
    <xf borderId="0" fillId="0" fontId="1" numFmtId="3" xfId="0" applyFont="1" applyNumberFormat="1"/>
    <xf borderId="0" fillId="0" fontId="6" numFmtId="3" xfId="0" applyAlignment="1" applyFont="1" applyNumberFormat="1">
      <alignment horizontal="right"/>
    </xf>
    <xf borderId="1" fillId="3" fontId="7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horizontal="center"/>
    </xf>
    <xf borderId="4" fillId="0" fontId="6" numFmtId="0" xfId="0" applyBorder="1" applyFont="1"/>
    <xf borderId="4" fillId="4" fontId="7" numFmtId="0" xfId="0" applyAlignment="1" applyBorder="1" applyFont="1">
      <alignment horizontal="center"/>
    </xf>
    <xf borderId="1" fillId="5" fontId="7" numFmtId="17" xfId="0" applyAlignment="1" applyBorder="1" applyFill="1" applyFont="1" applyNumberFormat="1">
      <alignment horizontal="center"/>
    </xf>
    <xf borderId="4" fillId="5" fontId="7" numFmtId="17" xfId="0" applyAlignment="1" applyBorder="1" applyFont="1" applyNumberFormat="1">
      <alignment horizontal="center"/>
    </xf>
    <xf borderId="4" fillId="6" fontId="7" numFmtId="0" xfId="0" applyAlignment="1" applyBorder="1" applyFill="1" applyFont="1">
      <alignment horizontal="center"/>
    </xf>
    <xf borderId="4" fillId="6" fontId="7" numFmtId="3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/>
    </xf>
    <xf borderId="4" fillId="6" fontId="7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/>
    </xf>
    <xf borderId="4" fillId="0" fontId="6" numFmtId="3" xfId="0" applyBorder="1" applyFont="1" applyNumberFormat="1"/>
    <xf borderId="4" fillId="0" fontId="8" numFmtId="164" xfId="0" applyAlignment="1" applyBorder="1" applyFont="1" applyNumberFormat="1">
      <alignment readingOrder="0" shrinkToFit="0" wrapText="1"/>
    </xf>
    <xf borderId="4" fillId="0" fontId="8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shrinkToFit="0" wrapText="1"/>
    </xf>
    <xf borderId="4" fillId="0" fontId="8" numFmtId="3" xfId="0" applyAlignment="1" applyBorder="1" applyFont="1" applyNumberFormat="1">
      <alignment horizontal="right" shrinkToFit="0" wrapText="1"/>
    </xf>
    <xf borderId="5" fillId="0" fontId="3" numFmtId="0" xfId="0" applyBorder="1" applyFont="1"/>
    <xf borderId="4" fillId="0" fontId="6" numFmtId="3" xfId="0" applyAlignment="1" applyBorder="1" applyFont="1" applyNumberFormat="1">
      <alignment horizontal="right"/>
    </xf>
    <xf borderId="4" fillId="6" fontId="7" numFmtId="0" xfId="0" applyBorder="1" applyFont="1"/>
    <xf borderId="4" fillId="7" fontId="7" numFmtId="3" xfId="0" applyAlignment="1" applyBorder="1" applyFill="1" applyFont="1" applyNumberFormat="1">
      <alignment horizontal="center"/>
    </xf>
    <xf borderId="4" fillId="6" fontId="7" numFmtId="165" xfId="0" applyBorder="1" applyFont="1" applyNumberFormat="1"/>
    <xf borderId="4" fillId="0" fontId="6" numFmtId="164" xfId="0" applyAlignment="1" applyBorder="1" applyFont="1" applyNumberFormat="1">
      <alignment readingOrder="0"/>
    </xf>
    <xf borderId="4" fillId="6" fontId="7" numFmtId="3" xfId="0" applyBorder="1" applyFont="1" applyNumberFormat="1"/>
    <xf borderId="4" fillId="6" fontId="7" numFmtId="3" xfId="0" applyAlignment="1" applyBorder="1" applyFont="1" applyNumberFormat="1">
      <alignment horizontal="right"/>
    </xf>
    <xf borderId="4" fillId="0" fontId="8" numFmtId="164" xfId="0" applyAlignment="1" applyBorder="1" applyFont="1" applyNumberFormat="1">
      <alignment readingOrder="0"/>
    </xf>
    <xf borderId="4" fillId="0" fontId="8" numFmtId="0" xfId="0" applyBorder="1" applyFont="1"/>
    <xf borderId="4" fillId="0" fontId="8" numFmtId="3" xfId="0" applyAlignment="1" applyBorder="1" applyFont="1" applyNumberFormat="1">
      <alignment horizontal="right"/>
    </xf>
    <xf borderId="6" fillId="0" fontId="1" numFmtId="0" xfId="0" applyAlignment="1" applyBorder="1" applyFont="1">
      <alignment horizontal="center" readingOrder="0" vertical="center"/>
    </xf>
    <xf borderId="4" fillId="0" fontId="9" numFmtId="164" xfId="0" applyAlignment="1" applyBorder="1" applyFont="1" applyNumberFormat="1">
      <alignment horizontal="left" readingOrder="0"/>
    </xf>
    <xf borderId="4" fillId="0" fontId="9" numFmtId="0" xfId="0" applyAlignment="1" applyBorder="1" applyFont="1">
      <alignment horizontal="left"/>
    </xf>
    <xf borderId="4" fillId="0" fontId="9" numFmtId="3" xfId="0" applyAlignment="1" applyBorder="1" applyFont="1" applyNumberFormat="1">
      <alignment horizontal="right"/>
    </xf>
    <xf borderId="7" fillId="0" fontId="3" numFmtId="0" xfId="0" applyBorder="1" applyFont="1"/>
    <xf borderId="1" fillId="5" fontId="7" numFmtId="17" xfId="0" applyAlignment="1" applyBorder="1" applyFont="1" applyNumberFormat="1">
      <alignment horizontal="center" readingOrder="0"/>
    </xf>
    <xf borderId="4" fillId="5" fontId="7" numFmtId="17" xfId="0" applyAlignment="1" applyBorder="1" applyFont="1" applyNumberFormat="1">
      <alignment horizontal="center" readingOrder="0"/>
    </xf>
    <xf borderId="6" fillId="6" fontId="5" numFmtId="0" xfId="0" applyAlignment="1" applyBorder="1" applyFont="1">
      <alignment horizontal="center" readingOrder="0" shrinkToFit="0" vertical="bottom" wrapText="0"/>
    </xf>
    <xf borderId="8" fillId="6" fontId="5" numFmtId="0" xfId="0" applyAlignment="1" applyBorder="1" applyFont="1">
      <alignment horizontal="center" shrinkToFit="0" vertical="bottom" wrapText="0"/>
    </xf>
    <xf borderId="8" fillId="6" fontId="5" numFmtId="3" xfId="0" applyAlignment="1" applyBorder="1" applyFont="1" applyNumberFormat="1">
      <alignment horizontal="center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3" xfId="0" applyAlignment="1" applyBorder="1" applyFont="1" applyNumberForma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1" numFmtId="0" xfId="0" applyBorder="1" applyFont="1"/>
    <xf borderId="4" fillId="0" fontId="1" numFmtId="3" xfId="0" applyAlignment="1" applyBorder="1" applyFont="1" applyNumberFormat="1">
      <alignment readingOrder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3" xfId="0" applyAlignment="1" applyBorder="1" applyFont="1" applyNumberFormat="1">
      <alignment readingOrder="0" shrinkToFit="0" vertical="bottom" wrapText="0"/>
    </xf>
    <xf borderId="4" fillId="0" fontId="4" numFmtId="164" xfId="0" applyAlignment="1" applyBorder="1" applyFont="1" applyNumberFormat="1">
      <alignment readingOrder="0" shrinkToFit="0" vertical="bottom" wrapText="0"/>
    </xf>
    <xf borderId="4" fillId="0" fontId="11" numFmtId="0" xfId="0" applyAlignment="1" applyBorder="1" applyFont="1">
      <alignment horizontal="left" shrinkToFit="0" vertical="bottom" wrapText="0"/>
    </xf>
    <xf borderId="4" fillId="0" fontId="4" numFmtId="3" xfId="0" applyAlignment="1" applyBorder="1" applyFont="1" applyNumberFormat="1">
      <alignment horizontal="right" readingOrder="0" shrinkToFit="0" vertical="bottom" wrapText="0"/>
    </xf>
    <xf borderId="4" fillId="0" fontId="4" numFmtId="3" xfId="0" applyAlignment="1" applyBorder="1" applyFont="1" applyNumberFormat="1">
      <alignment horizontal="right" readingOrder="0" shrinkToFit="0" vertical="bottom" wrapText="0"/>
    </xf>
    <xf borderId="4" fillId="6" fontId="1" numFmtId="0" xfId="0" applyAlignment="1" applyBorder="1" applyFont="1">
      <alignment readingOrder="0"/>
    </xf>
    <xf borderId="4" fillId="6" fontId="1" numFmtId="3" xfId="0" applyBorder="1" applyFont="1" applyNumberFormat="1"/>
    <xf borderId="4" fillId="6" fontId="1" numFmtId="3" xfId="0" applyAlignment="1" applyBorder="1" applyFont="1" applyNumberFormat="1">
      <alignment horizontal="right"/>
    </xf>
    <xf borderId="0" fillId="0" fontId="1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/>
    </xf>
    <xf borderId="0" fillId="0" fontId="14" numFmtId="14" xfId="0" applyFont="1" applyNumberFormat="1"/>
    <xf borderId="0" fillId="0" fontId="14" numFmtId="0" xfId="0" applyFont="1"/>
    <xf borderId="0" fillId="0" fontId="9" numFmtId="0" xfId="0" applyFont="1"/>
    <xf borderId="0" fillId="0" fontId="6" numFmtId="14" xfId="0" applyFont="1" applyNumberFormat="1"/>
    <xf borderId="0" fillId="0" fontId="1" numFmtId="0" xfId="0" applyFont="1"/>
    <xf borderId="0" fillId="0" fontId="6" numFmtId="0" xfId="0" applyFont="1"/>
    <xf borderId="0" fillId="0" fontId="6" numFmtId="14" xfId="0" applyAlignment="1" applyFont="1" applyNumberForma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9" fillId="0" fontId="6" numFmtId="0" xfId="0" applyBorder="1" applyFont="1"/>
    <xf borderId="10" fillId="8" fontId="5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11" fillId="8" fontId="5" numFmtId="0" xfId="0" applyAlignment="1" applyBorder="1" applyFont="1">
      <alignment horizontal="left" readingOrder="0" shrinkToFit="0" vertical="bottom" wrapText="0"/>
    </xf>
    <xf borderId="11" fillId="8" fontId="5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1" xfId="0" applyAlignment="1" applyFont="1" applyNumberFormat="1">
      <alignment horizontal="right" readingOrder="0" shrinkToFit="0" vertical="bottom" wrapText="0"/>
    </xf>
    <xf borderId="0" fillId="0" fontId="4" numFmtId="167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pivotCacheDefinition" Target="pivotCache/pivotCacheDefinition2.xml"/><Relationship Id="rId21" Type="http://schemas.openxmlformats.org/officeDocument/2006/relationships/pivotCacheDefinition" Target="pivotCache/pivotCacheDefinition1.xml"/><Relationship Id="rId24" Type="http://schemas.openxmlformats.org/officeDocument/2006/relationships/pivotCacheDefinition" Target="pivotCache/pivotCacheDefinition4.xml"/><Relationship Id="rId23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pivotCacheDefinition" Target="pivotCache/pivotCacheDefinition6.xml"/><Relationship Id="rId25" Type="http://schemas.openxmlformats.org/officeDocument/2006/relationships/pivotCacheDefinition" Target="pivotCache/pivotCacheDefinition5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8" sheet="April"/>
  </cacheSource>
  <cacheFields>
    <cacheField name="Date" numFmtId="14">
      <sharedItems containsSemiMixedTypes="0" containsDate="1" containsString="0">
        <d v="2025-04-01T00:00:00Z"/>
        <d v="2025-04-03T00:00:00Z"/>
        <d v="2025-04-04T00:00:00Z"/>
        <d v="2025-04-05T00:00:00Z"/>
        <d v="2025-04-07T00:00:00Z"/>
        <d v="2025-04-09T00:00:00Z"/>
        <d v="2025-04-10T00:00:00Z"/>
        <d v="2025-04-11T00:00:00Z"/>
        <d v="2025-04-12T00:00:00Z"/>
        <d v="2025-04-15T00:00:00Z"/>
        <d v="2025-04-16T00:00:00Z"/>
        <d v="2025-04-17T00:00:00Z"/>
        <d v="2025-04-18T00:00:00Z"/>
        <d v="2025-04-19T00:00:00Z"/>
        <d v="2025-04-21T00:00:00Z"/>
        <d v="2025-04-25T00:00:00Z"/>
        <d v="2025-04-26T00:00:00Z"/>
        <d v="2025-04-28T00:00:00Z"/>
      </sharedItems>
    </cacheField>
    <cacheField name="Narration" numFmtId="0">
      <sharedItems>
        <s v="IMPS-509118085857-ARYU ENTERPRISES PRIVATE LIMITED-INDB-XXXXXXXX5106-P2AMOB"/>
        <s v="UPI-GOOGLE INDIA DIGITAL-GPAYRECHARGE@OKPAYAXIS-UTIB0000553-102509449935-UPI"/>
        <s v="UPI-TANGEDCO-TANGEDCO@INDIANBK-IDIB000A089-102513589637-TANGEDCO PORTAL QR"/>
        <s v="UPI-AIRTEL PAYMENTS BANK-AIRTELPAYMENTSBANKLIMI-8027499.PAYU@INDUS-INDB0MERCHA-100100465456-UPI TRANSACTION"/>
        <s v="UPI-MURUGAN M-MUNIAPPANMUNIAPPAN297-1@OKSBI-PUNB0792400-102545020923-TEA PAYMENT"/>
        <s v="UPI-GOOGLE INDIA SERVICE-GPAYRECHARGE@ICICI-ICIC0DC0099-102568167426-UPI"/>
        <s v="UPI-NAUKRI CS INR-NAUKRICSINR-29961.PAYU@INDUS-INDB0MERCHA-100101452409-UPI TRANSACTION"/>
        <s v="MULTIPLE-SALARY-YUVA-SAL.TXT"/>
        <s v="NEFT DR-IDIB000A132-CAROLINE JOSHVA-NETBANK, MUM-HDFCN52025040561725624-RENT MAINTENANCE"/>
        <s v="UPI-CBDT-CBDT.PAYU@HDFCBANK-HDFC0MERUPI-100316300206-UPI TRANSACTION"/>
        <s v="QG9GWQWPBA2OCC/GOOGLEADS"/>
        <s v="UPI-MURUGAN M-MUNIAPPANMUNIAPPAN297-1@OKSBI-PUNB0792400-102774347830-TEA PAYMENT"/>
        <s v="UPI-TAMILARASAN M-TAMILARUN223@OKSBI-CNRB0000033-102891535241-ACADEMY CERTIFICAT"/>
        <s v="UPI-MR PRADEEP GUNASEKAR-PRADEEPGUNASEKARAN17-2@OKICICI-IDIB000S026-102936344787-UPI"/>
        <s v="NEFT CR-DEUT0784BBY-DEUTSCHE BANK LONDON-YUVARAJ T-DEUTN52025041101001839"/>
        <s v="MULTIPLE-SALARY-APRIL-25.TXT"/>
        <s v="UPI-MS KALAISELVI  K-KANNANSELVI130@OKICICI-CIUB0000467-102969269937-MARCH 2025 STIPEND"/>
        <s v="UPI-BHARATHWAJ S-BHARATHWAJB599@OKSBI-HDFC0001254-102969296476-MARCH 2025 STIPEND"/>
        <s v="UPI-VENU D-DVENU6383@OKICICI-BKID0008260-102969325946-MARCH 2025 STIPEND"/>
        <s v="UPI-MR IYYAPPAN A-IYYAPPANMECH678@OKSBI-IDIB000A088-102971671037-MARCH 2025 STIPEND"/>
        <s v="UPI-MR IYYAPPAN A-IYYAPPANMECH678@OKSBI-IDIB000A088-102971691693-MARCH 2025 STIPEND"/>
        <s v="UPI-MRS BHUVANESWARI PAT-DRBHUBHU587@OKHDFCBANK-IDIB000M132-102974884338-MARCH 2025 STIPEND"/>
        <s v="UPI-BALAJI N-BALAJISOUNDHER899@OKAXIS-IBKL0001061-102975078285-MARCH 2025 STIPEND"/>
        <s v="UPI-ABDUL RAHMAN M-ABDULAR025@OKICICI-CNRB0000033-102992147346-MARCH 2025 STIPEND"/>
        <s v="UPI-MR BARATH K-PAZHAYASORU101-2@OKHDFCBANK-IDIB000K087-102992219004-MARCH 2025 STIPEND"/>
        <s v="UPI-FRESH 2 DAY-PAYTM.D10786865186@PTY-YESB0MCHUPI-103020939144-SNACKS"/>
        <s v="UPI-THE SEAMOUNT RESTAUR-VYAPAR.171649384877@HDFCBANK-HDFC0MERUPI-103048219753-TEAM DINNER"/>
        <s v="IMPS-510516340747-T YUVARAJ-HDFC-XXXXXXXXXX2374-OD TRANSFER ARYU"/>
        <s v="UPI-PALANISAMY  R-PALANISAMYR779@OKICICI-IOBA0001697-103219982961-MARCH 2025 STIPEND"/>
        <s v="UPI-RAMKISHORE  RAMASAMY-RAMKISHORE1215@OKHDFCBANK-IOBA0000559-103220111336-MARCH 2025 STIPEND"/>
        <s v="BHREDNJ0ICXZIG/EPFO"/>
        <s v="UPI-GOOGLE INDIA DIGITAL-GPAY-TV-INTERNET@OKPAYAXIS-UTIB0000553-103224885886-UPI"/>
        <s v="UPI-MURUGAN M-MUNIAPPANMUNIAPPAN297-1@OKSBI-PUNB0792400-103224995155-TEA PAYMENT"/>
        <s v="IMPS-510609312060-T YUVARAJ-HDFC-XXXXXXXXXX2374-ARYU OD PROFESSIONAL TAX"/>
        <s v="UPI-NAUKRI CS INR-NAUKRICSINR-29961.PAYU@INDUS-INDB0MERCHA-100107854703-UPI TRANSACTION"/>
        <s v="CHQ PAID-INWARD TRAN-THE COMMISSIONER GC"/>
        <s v="UPI-MANIKANDAN B-MANIBOOPATHY143-1@OKHDFCBANK-UBIN0540749-103275047392-PAN GOV FEES"/>
        <s v="UPI-HARITHA R-RADHAKRISHNANHARITHA08-1@OKHDFCBANK-HDFC0001297-103276134600-MARKER"/>
        <s v="IMPS-510710988701-ARYU ENTERPRISES PRIVATE LIMITED-INDB-XXXXXXXX5106-P2AMOB"/>
        <s v="MULTIPLE-SALARY-ARUNA-SAL-APRIL.TXT"/>
        <s v="BHRE9V90IHY02Q/EPFO"/>
        <s v="BHRELWU0IHZNOP/EPFO"/>
        <s v="BHRES2P0IHZSJP/EPFO"/>
        <s v="UPI-THILIPAN T-THILIP707-1@OKHDFCBANK-HDFC0003883-103365508907-MARCH MONTH SERVER"/>
        <s v="IMPS-510811109068-SRIDHAR JAGADEESAN-ICIC-XXXXXXXX3206-AWS WORK - INTRANET"/>
        <s v="UPI-ENTERPRISE BROADBAND-PAYTM-57621217@PTYBL-YESB0PTMUPI-103368659465-UPI"/>
        <s v="UPI-R SATHISHKUMAR-ROYALSTARSATHISH1@OKHDFCBANK-HDFC0003742-103380485109-AC"/>
        <s v="UPI-KISHOREKUMAR SUNDARA-KISHOREYUVANDREAMFX@OKAXIS-UTIB0002146-103414572502-UPI"/>
        <s v="UPI-GOODS AND SERVICES T-GOODSANDSERVICESTAXN.76088835@HDFCBANK-HDFC0MERUPI-100389999954-GSTN"/>
        <s v="UPI-MURUGAN M-MUNIAPPANMUNIAPPAN297-1@OKSBI-PUNB0792400-103541465009-TEA PAYMENT"/>
        <s v="UPI-HARITHA R-RADHAKRISHNANHARITHA08-1@OKHDFCBANK-HDFC0001297-103543280227-DISH WASH"/>
        <s v="UPI-GOOGLE INDIA DIGITAL-GPAYRECHARGE@OKPAYAXIS-UTIB0000553-103744946873-UPI"/>
        <s v="UPI-SUDHARSHAN T-2BASUDHARSHANT8168@OKAXIS-BARB0CHOOLA-103795317757-FAN"/>
        <s v="UPI-JALAJA  RAJESH-JALAJAPARIYARATH@OKSBI-SBIN0006495-103796938827-FAN ELECTRICIAN WO"/>
        <s v="UPI-PROTEAN EGOV TECHNOL-PAYTM-01478@PTYBL-YESB0PTMUPI-283976376472-OID101RPB280420251"/>
        <s v="UPI-RESIDENTUIDAIGOVIN-PAYUPAYMENTSWALLETS@YBL-YESB0YBLUPI-511876768030-COLLECT REQUEST FR"/>
        <s v="UPI-RESIDENTUIDAIGOVIN-PAYUPAYMENTSWALLETS@YBL-YESB0YBLUPI-511833685358-COLLECT REQUEST FR"/>
      </sharedItems>
    </cacheField>
    <cacheField name="Ledger" numFmtId="0">
      <sharedItems>
        <s v="HDFC Bk Ac No - 50200064135746 from Indus Bk Ac No - 259994715106"/>
        <s v="Telephone Expenditure"/>
        <s v="Electricity Charges"/>
        <s v="Internet Charges"/>
        <s v="Employee Welfare Expenses"/>
        <s v="Recruiting Expenses"/>
        <s v="Director Salary"/>
        <s v="Office Rent &amp; Maintenance"/>
        <s v="TDS CHALLAN PAID"/>
        <s v="Software Subscription"/>
        <s v="Administraion Expenses"/>
        <s v="Sales"/>
        <s v="Salary"/>
        <s v="Stipend"/>
        <s v="Secured Loan"/>
        <s v="Employee Provident Fund Expenses"/>
        <s v="Proffessional Tax"/>
        <s v="Repairs &amp; Maintenance"/>
        <s v="Marketing and Advertisement Expenditure"/>
        <s v="Prepaid Asset (Current Assets)"/>
        <s v="Office Expenses"/>
        <s v="Asset Purchase"/>
      </sharedItems>
    </cacheField>
    <cacheField name="Reason" numFmtId="0">
      <sharedItems>
        <s v="Self Transfer"/>
        <s v="Mobile Recharge"/>
        <s v="EB Payment"/>
        <s v="Expense for internet connectivity - AIRTEL"/>
        <s v="Cost of refreshments (Tea and Snacks) for staff"/>
        <s v="Recruitment Expenses on Naukri portal"/>
        <s v="Yuvaraj"/>
        <s v="Rent for office -CAROLINE JOSHVA"/>
        <s v="194"/>
        <s v="G-suit from Google office purpose"/>
        <s v="Printing Certificates for Academy"/>
        <s v="Cost of cake for employee birthday celebrations"/>
        <s v="Upwork Yuvaraj"/>
        <s v="Multiple Employees"/>
        <s v="Kaasni"/>
        <s v="Bharathwaj S"/>
        <s v="Venu D"/>
        <s v="Iyyappan A"/>
        <s v="Bhuvaneswari"/>
        <s v="Balaji N"/>
        <s v="Abdhul Rahman"/>
        <s v="Barath K"/>
        <s v="Cost of refreshments (Food) for staff"/>
        <s v="Loan from Yuvaraj OD Account"/>
        <s v="Palanisamy"/>
        <s v="Ramkishore"/>
        <s v="ER&amp;EE  Contribution Mar-25 Month PF- ECR Retuns - For Directors &amp; Employees"/>
        <s v="Expense for internet connectivity - ACT"/>
        <s v="Tax paid to Govt (Professional Tax, Penalty and Fines) (2nd instl )"/>
        <s v="PAN Correction Yuvaraj"/>
        <s v="Purchase Maker"/>
        <s v="Aruna"/>
        <s v="ER contribution  JUL-23 Month PF- Arrear Retuns - For Directors"/>
        <s v="ER contribution  SEP-23 Month PF- Arrear Retuns - For Directors"/>
        <s v="ER contribution  AUG-23 Month PF- Arrear Retuns - For Directors"/>
        <s v="Thilipan"/>
        <s v="Sridhar"/>
        <s v="Expense for internet connectivity - JIO"/>
        <s v="AC service and repair work"/>
        <s v="Shoot expenses associated with creating promotional content"/>
        <s v="GST PAID for commercial purpose (ITC Claimed)"/>
        <s v="Dish Wash Purchased by Harithe"/>
        <s v="Purchase Fan"/>
        <s v="Expense for electrician services for electrical work"/>
        <s v="Director Aruna Pan Reprint Govt Fee"/>
        <s v="Director Yuvaraj Aadhar Reprint Govt Fee"/>
        <s v="Director Aruna Aadhar Reprint Govt Fee"/>
      </sharedItems>
    </cacheField>
    <cacheField name="Withdrawal Amt." numFmtId="0">
      <sharedItems containsString="0" containsBlank="1" containsNumber="1">
        <m/>
        <n v="300.9"/>
        <n v="1284.0"/>
        <n v="588.82"/>
        <n v="1800.0"/>
        <n v="200.9"/>
        <n v="1003.0"/>
        <n v="90842.0"/>
        <n v="18875.0"/>
        <n v="11180.0"/>
        <n v="1208.17"/>
        <n v="370.0"/>
        <n v="720.0"/>
        <n v="183412.0"/>
        <n v="3000.0"/>
        <n v="6708.0"/>
        <n v="7000.0"/>
        <n v="5833.0"/>
        <n v="1167.0"/>
        <n v="1750.0"/>
        <n v="3500.0"/>
        <n v="6604.0"/>
        <n v="607.0"/>
        <n v="2310.0"/>
        <n v="6417.0"/>
        <n v="33110.0"/>
        <n v="1650.82"/>
        <n v="1500.0"/>
        <n v="18340.0"/>
        <n v="200.0"/>
        <n v="20.0"/>
        <n v="73962.0"/>
        <n v="3600.0"/>
        <n v="1400.0"/>
        <n v="4400.0"/>
        <n v="5313.54"/>
        <n v="800.0"/>
        <n v="5000.0"/>
        <n v="3308.0"/>
        <n v="1830.0"/>
        <n v="180.9"/>
        <n v="500.0"/>
        <n v="50.0"/>
      </sharedItems>
    </cacheField>
    <cacheField name="Deposit Amt." numFmtId="0">
      <sharedItems containsString="0" containsBlank="1" containsNumber="1">
        <n v="127300.0"/>
        <m/>
        <n v="199244.24"/>
        <n v="45000.0"/>
        <n v="20000.0"/>
        <n v="127560.48"/>
      </sharedItems>
    </cacheField>
    <cacheField name="Closing Balance" numFmtId="0">
      <sharedItems containsSemiMixedTypes="0" containsString="0" containsNumber="1">
        <n v="164000.56"/>
        <n v="163699.66"/>
        <n v="162415.66"/>
        <n v="161826.84"/>
        <n v="160026.84"/>
        <n v="159825.94"/>
        <n v="158822.94"/>
        <n v="67980.94"/>
        <n v="49105.94"/>
        <n v="37925.94"/>
        <n v="36717.77"/>
        <n v="34917.77"/>
        <n v="34547.77"/>
        <n v="33827.77"/>
        <n v="233072.01"/>
        <n v="49660.01"/>
        <n v="46660.01"/>
        <n v="39952.01"/>
        <n v="32952.01"/>
        <n v="27119.01"/>
        <n v="25952.01"/>
        <n v="24202.01"/>
        <n v="20702.01"/>
        <n v="13994.01"/>
        <n v="7390.01"/>
        <n v="6783.01"/>
        <n v="4473.01"/>
        <n v="49473.01"/>
        <n v="42765.01"/>
        <n v="36348.01"/>
        <n v="3238.01"/>
        <n v="1587.19"/>
        <n v="87.19"/>
        <n v="20087.19"/>
        <n v="19084.19"/>
        <n v="744.19"/>
        <n v="544.19"/>
        <n v="524.19"/>
        <n v="128084.67"/>
        <n v="54122.67"/>
        <n v="50522.67"/>
        <n v="46922.67"/>
        <n v="43322.67"/>
        <n v="41922.67"/>
        <n v="37522.67"/>
        <n v="32209.13"/>
        <n v="31409.13"/>
        <n v="26409.13"/>
        <n v="23101.13"/>
        <n v="21271.13"/>
        <n v="21251.13"/>
        <n v="21070.23"/>
        <n v="18760.23"/>
        <n v="18260.23"/>
        <n v="18210.23"/>
        <n v="18160.23"/>
        <n v="18110.23"/>
      </sharedItems>
    </cacheField>
    <cacheField name="closing balance2" numFmtId="0">
      <sharedItems containsSemiMixedTypes="0" containsString="0" containsNumber="1">
        <n v="164000.56"/>
        <n v="163699.66"/>
        <n v="162415.66"/>
        <n v="161826.84"/>
        <n v="160026.84"/>
        <n v="159825.94"/>
        <n v="158822.94"/>
        <n v="67980.94"/>
        <n v="49105.94"/>
        <n v="37925.94"/>
        <n v="36717.770000000004"/>
        <n v="34917.770000000004"/>
        <n v="34547.770000000004"/>
        <n v="33827.770000000004"/>
        <n v="233072.01"/>
        <n v="49660.01000000001"/>
        <n v="46660.01000000001"/>
        <n v="39952.01000000001"/>
        <n v="32952.01000000001"/>
        <n v="27119.01000000001"/>
        <n v="25952.01000000001"/>
        <n v="24202.01000000001"/>
        <n v="20702.01000000001"/>
        <n v="13994.01000000001"/>
        <n v="7390.010000000009"/>
        <n v="6783.010000000009"/>
        <n v="4473.010000000009"/>
        <n v="49473.01000000001"/>
        <n v="42765.01000000001"/>
        <n v="36348.01000000001"/>
        <n v="3238.0100000000093"/>
        <n v="1587.1900000000094"/>
        <n v="87.19000000000938"/>
        <n v="20087.19000000001"/>
        <n v="19084.19000000001"/>
        <n v="744.1900000000096"/>
        <n v="544.1900000000096"/>
        <n v="524.1900000000096"/>
        <n v="128084.67000000001"/>
        <n v="54122.67000000001"/>
        <n v="50522.67000000001"/>
        <n v="46922.67000000001"/>
        <n v="43322.67000000001"/>
        <n v="41922.67000000001"/>
        <n v="37522.67000000001"/>
        <n v="32209.130000000012"/>
        <n v="31409.130000000012"/>
        <n v="26409.130000000012"/>
        <n v="23101.130000000012"/>
        <n v="21271.130000000012"/>
        <n v="21251.130000000012"/>
        <n v="21070.23000000001"/>
        <n v="18760.23000000001"/>
        <n v="18260.23000000001"/>
        <n v="18210.23000000001"/>
        <n v="18160.23000000001"/>
        <n v="18110.23000000001"/>
      </sharedItems>
    </cacheField>
    <cacheField name="Difference" numFmtId="0">
      <sharedItems containsSemiMixedTypes="0" containsString="0" containsNumber="1">
        <n v="0.0"/>
        <n v="-7.275957614183426E-12"/>
        <n v="-1.0913936421275139E-11"/>
        <n v="-9.094947017729282E-12"/>
        <n v="-9.322320693172514E-12"/>
        <n v="-9.379164112033322E-12"/>
        <n v="-9.549694368615746E-12"/>
        <n v="-1.4551915228366852E-1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42" sheet="May"/>
  </cacheSource>
  <cacheFields>
    <cacheField name="Date" numFmtId="14">
      <sharedItems containsSemiMixedTypes="0" containsDate="1" containsString="0">
        <d v="2025-05-02T00:00:00Z"/>
        <d v="2025-05-05T00:00:00Z"/>
        <d v="2025-05-06T00:00:00Z"/>
        <d v="2025-05-07T00:00:00Z"/>
        <d v="2025-05-08T00:00:00Z"/>
        <d v="2025-05-10T00:00:00Z"/>
        <d v="2025-05-12T00:00:00Z"/>
        <d v="2025-05-13T00:00:00Z"/>
        <d v="2025-05-14T00:00:00Z"/>
        <d v="2025-05-17T00:00:00Z"/>
        <d v="2025-05-18T00:00:00Z"/>
        <d v="2025-05-20T00:00:00Z"/>
        <d v="2025-05-21T00:00:00Z"/>
        <d v="2025-05-22T00:00:00Z"/>
        <d v="2025-05-29T00:00:00Z"/>
        <d v="2025-05-30T00:00:00Z"/>
      </sharedItems>
    </cacheField>
    <cacheField name="Narration" numFmtId="0">
      <sharedItems>
        <s v="IMPS-512207591865-ARYU ENTERPRISES PRIVATE LIMITED-INDB-XXXXXXXX5106-P2AMOB"/>
        <s v="MULTIPLE-SALARY-DIR-SAL-APR.TXT"/>
        <s v="UPI-GOOGLE INDIA DIGITAL-GPAYRECHARGE@OKPAYAXIS-UTIB0000553-104125232962-UPI"/>
        <s v="UPI-GOOGLE INDIA SERVICE-GPAYRECHARGE@ICICI-ICIC0DC0099-104125301148-UPI"/>
        <s v="UPI-GFXTOOLZ-M22CHPIX3GUZD@YBL-YESB0YBLUPI-104129200037-PAYMENT FOR 658642"/>
        <s v="NEFT DR-IDIB000A132-CAROLINE JOSHVA-NETBANK, MUM-HDFCN52025050515196919-RENT MAINTENANCE"/>
        <s v="NEFT DR-KKBK0000468-ARYU ACADEMY-NETBANK, MUM-HDFCN52025050616284117-SELF TRANSFER RENT"/>
        <s v="UPI-MURUGAN M-MUNIAPPANMUNIAPPAN297-1@OKSBI-PUNB0792400-104367292564-TEA PAYMENT"/>
        <s v=".IMPS P2P 510811109068#18/04/2025 180425-MIR2612757471708"/>
        <s v="UPI-SHOPIFY COMMERCE SIN-SHOPIFYCOMMERCESINGAPORE.RZP@ICICI-ICIC0DC0099-512702860009-PAY VIA RAZORPAY"/>
        <s v="UPI-KISHOREKUMAR SUNDARA-KISHOREYUVANDREAMFX@OKAXIS-UTIB0002146-104419490243-PETROL ALLOWANCE A"/>
        <s v="UPI-PALANISAMY  R-PALANISAMYR779@OKICICI-IOBA0001697-104447306690-FACTORY VISIT"/>
        <s v="BHDFQ2Y0KAOLED/BILLDKPLAYSTOREGOOGL"/>
        <s v="UPI-BALACHANDAR JEGADEES-MATHEWBALA0010-1@OKHDFCBANK-HDFC0001297-104463887663-AVINSAA GST"/>
        <s v="UPI-PRAGATHI BROILER FAR-Q552911586@YBL-YESB0YBLUPI-104566242563-CHICKEN FOOD LUNCH"/>
        <s v="UPI-XXXXXXXXXXX9053-UTIB0000016-104581533625-SYSTEM RENT"/>
        <s v="UPI-CORPORATENAUKRI-CORPORATE.NAUKRI.PAYU@AXISBANK-UTIB0000000-450289491325-UPI TRANSACTION"/>
        <s v="UPI-SHOPIFY COMMERCE SIN-SHOPIFYCOMMERCESINGAPORE.RZP@ICICI-ICIC0DC0099-549726955622-PAY VIA RAZORPAY"/>
        <s v="NEFT CR-INDB0000006-UPWORK ESCROW INC-YUVARAJ T-INDBN52025051203841157"/>
        <s v="MULTIPLE-SALARY-EMP-SAL-APRIL-25.TXT"/>
        <s v="UPI-ARYU ACADEMY-YUVA.TANYA-3@OKHDFCBANK-KKBK0000468-104730862926-UPI"/>
        <s v="UPI-HARITHA R -RADHAKRISHNANHARITHA08-2@OKHDFCBANK-TMBL0000123-104746079952-CAKE"/>
        <s v="UPI-MURUGAN M-MUNIAPPANMUNIAPPAN297-1@OKSBI-PUNB0792400-104746132101-TEA AMOUNT"/>
        <s v="UPIRET-20250507-512702860009"/>
        <s v="IMPS-513717255272-ARYU ENTERPRISES PRIVATE LIMITED-INDB-XXXXXXXX5106-P2AMOB"/>
        <s v="MULTIPLE-SALARY-DIR-SAL-APR-ARUNA.TXT"/>
        <s v="BHRE3UG0L4GUBQ/EPFO"/>
        <s v="BHREZZQ0L4H0VK/EPFO"/>
        <s v="BHREQYG0L4H91B/EPFO"/>
        <s v="BHREN590L4HC5Y/EPFO"/>
        <s v="UPI-GOODS AND SERVICES T-GOODSANDSERVICESTAXN.76088835@HDFCBANK-HDFC0MERUPI-100586985494-GSTN"/>
        <s v="UPI-CORPORATENAUKRI-CORPORATE.NAUKRI.PAYU@AXISBANK-UTIB0000000-371738151405-UPI TRANSACTION"/>
        <s v="UPI-BALACHANDAR JEGADEES-MATHEWBALA0010-1@OKHDFCBANK-HDFC0001297-105165273651-GST"/>
        <s v="UPI-HARITHA R -RADHAKRISHNANHARITHA08-2@OKHDFCBANK-TMBL0000123-105227437327-CAKE"/>
        <s v="UPI-GOOGLE INDIA DIGITAL-GPAYRECHARGE@OKPAYAXIS-UTIB0000553-105239626525-UPI"/>
        <s v="IMPS-514917318657-T YUVARAJ-HDFC-XXXXXXXXXX2374-OFFICE MISCELLANEOUS EXPENSE"/>
        <s v="UPI-CORPORATENAUKRI-CORPORATE.NAUKRI.PAYU@AXISBANK-UTIB0000000-464270541495-UPI TRANSACTION"/>
        <s v="UPI-MURUGAN M-MUNIAPPANMUNIAPPAN297-1@OKSBI-PUNB0792400-105590349443-TEA PAYMENT"/>
        <s v="UPI-BALACHANDAR JEGADEES-MATHEWBALA0010-1@OKHDFCBANK-HDFC0001297-105590387990-UPI"/>
        <s v="UPI-GOOGLE INDIA SERVICE-GPAYRECHARGE@ICICI-ICIC0DC0099-105642864071-UPI"/>
        <s v="UPI-GOOGLE INDIA DIGITAL-GPAYRECHARGE@OKPAYAXIS-UTIB0000553-105642918609-UPI"/>
      </sharedItems>
    </cacheField>
    <cacheField name="Ledger" numFmtId="0">
      <sharedItems>
        <s v="HDFC Bk Ac No - 50200064135746 from Indus Bk Ac No - 259994715106"/>
        <s v="Director Salary"/>
        <s v="Telephone Expenditure"/>
        <s v="Software Subscription"/>
        <s v="Office Rent &amp; Maintenance"/>
        <s v="Employee Welfare Expenses"/>
        <s v="Bank Charges"/>
        <s v="Travel &amp; Accomodation"/>
        <s v="Audit Fees"/>
        <s v="Equipment Rental Expenses"/>
        <s v="RECRUITMENT EXPENSES"/>
        <s v="Sales"/>
        <s v="Salary"/>
        <s v="Stipend"/>
        <s v="Suspense Income"/>
        <s v="Employee Provident Fund Expenses"/>
        <s v="Prepaid Asset (Current Assets)"/>
        <s v="Miscellaneous Income"/>
      </sharedItems>
    </cacheField>
    <cacheField name="Reason" numFmtId="0">
      <sharedItems>
        <s v="Self Transfer"/>
        <s v="Yuvaraj"/>
        <s v="Mobile Recharge"/>
        <s v="Tools Buy"/>
        <s v="Rent for office -CAROLINE JOSHVA"/>
        <s v="Rent for office -Sherin"/>
        <s v="Cost of refreshments (Tea and Snacks) for staff"/>
        <s v="Bank Charges"/>
        <s v="Petrol &amp; Fuel"/>
        <s v="Erode for Site Visit"/>
        <s v="G-suit from Google office purpose"/>
        <s v="GST Approval for Avinsaa"/>
        <s v="Cost of refreshments (food) for staff"/>
        <s v="Rental expense for Office system"/>
        <s v="Recruitment expenses on Naukri portal"/>
        <s v="Upwork Yuvaraj"/>
        <s v="Multiple Employees"/>
        <s v="For Multiple Employees"/>
        <s v="Cost of cake for employee birthday celebrations"/>
        <s v="Miscellaneous Income"/>
        <s v="Aruna"/>
        <s v="ER&amp;EE  Contribution Apl-25 Month PF- ECR Retuns - For Directors &amp; Employees"/>
        <s v="ER contribution  Apl-23 Month PF- Arrear Retuns - For Directors"/>
        <s v="ER contribution  May-23 Month PF- Arrear Retuns - For Directors"/>
        <s v="ER contribution  Jun-23 Month PF- Arrear Retuns - For Directors"/>
        <s v="GST PAID for commercial purpose (ITC Claimed)"/>
        <s v="GST address Change for Aryu"/>
        <s v="unfindable"/>
        <s v="Visit GST Office"/>
      </sharedItems>
    </cacheField>
    <cacheField name="Withdrawal Amt." numFmtId="0">
      <sharedItems containsString="0" containsBlank="1" containsNumber="1">
        <m/>
        <n v="90842.0"/>
        <n v="220.9"/>
        <n v="300.9"/>
        <n v="649.0"/>
        <n v="18875.0"/>
        <n v="8875.0"/>
        <n v="3330.0"/>
        <n v="5.9"/>
        <n v="10.0"/>
        <n v="200.0"/>
        <n v="1000.0"/>
        <n v="1628.4"/>
        <n v="5000.0"/>
        <n v="480.0"/>
        <n v="6844.0"/>
        <n v="1003.0"/>
        <n v="23.6"/>
        <n v="174793.0"/>
        <n v="14000.0"/>
        <n v="1675.0"/>
        <n v="1665.0"/>
        <n v="73962.0"/>
        <n v="32437.0"/>
        <n v="3600.0"/>
        <n v="3308.0"/>
        <n v="750.0"/>
        <n v="3300.0"/>
        <n v="100.0"/>
        <n v="196.9"/>
      </sharedItems>
    </cacheField>
    <cacheField name="Deposit Amt." numFmtId="0">
      <sharedItems containsString="0" containsBlank="1" containsNumber="1">
        <n v="126031.47"/>
        <m/>
        <n v="187921.87"/>
        <n v="10.0"/>
        <n v="127491.22"/>
        <n v="4500.0"/>
      </sharedItems>
    </cacheField>
    <cacheField name="Closing Balance" numFmtId="0">
      <sharedItems containsSemiMixedTypes="0" containsString="0" containsNumber="1">
        <n v="144141.7"/>
        <n v="53299.7"/>
        <n v="53078.8"/>
        <n v="52777.9"/>
        <n v="52128.9"/>
        <n v="33253.9"/>
        <n v="24378.9"/>
        <n v="21048.9"/>
        <n v="21043.0"/>
        <n v="21033.0"/>
        <n v="20833.0"/>
        <n v="19833.0"/>
        <n v="18204.6"/>
        <n v="13204.6"/>
        <n v="12724.6"/>
        <n v="5880.6"/>
        <n v="4877.6"/>
        <n v="4854.0"/>
        <n v="192775.87"/>
        <n v="17982.87"/>
        <n v="3982.87"/>
        <n v="2307.87"/>
        <n v="642.87"/>
        <n v="652.87"/>
        <n v="128144.09"/>
        <n v="54182.09"/>
        <n v="21745.09"/>
        <n v="18145.09"/>
        <n v="14545.09"/>
        <n v="10945.09"/>
        <n v="7637.09"/>
        <n v="6634.09"/>
        <n v="1634.09"/>
        <n v="884.09"/>
        <n v="583.19"/>
        <n v="5083.19"/>
        <n v="4080.19"/>
        <n v="780.19"/>
        <n v="680.19"/>
        <n v="483.29"/>
        <n v="182.39"/>
      </sharedItems>
    </cacheField>
    <cacheField name="closing balance2" numFmtId="0">
      <sharedItems containsSemiMixedTypes="0" containsString="0" containsNumber="1">
        <n v="144141.7"/>
        <n v="53299.70000000001"/>
        <n v="53078.80000000001"/>
        <n v="52777.90000000001"/>
        <n v="52128.90000000001"/>
        <n v="33253.90000000001"/>
        <n v="24378.90000000001"/>
        <n v="21048.90000000001"/>
        <n v="21043.000000000007"/>
        <n v="21033.000000000007"/>
        <n v="20833.000000000007"/>
        <n v="19833.000000000007"/>
        <n v="18204.600000000006"/>
        <n v="13204.600000000006"/>
        <n v="12724.600000000006"/>
        <n v="5880.600000000006"/>
        <n v="4877.600000000006"/>
        <n v="4854.0000000000055"/>
        <n v="192775.87"/>
        <n v="17982.869999999995"/>
        <n v="3982.8699999999953"/>
        <n v="2307.8699999999953"/>
        <n v="642.8699999999953"/>
        <n v="652.8699999999953"/>
        <n v="128144.09"/>
        <n v="54182.09"/>
        <n v="21745.089999999997"/>
        <n v="18145.089999999997"/>
        <n v="14545.089999999997"/>
        <n v="10945.089999999997"/>
        <n v="7637.0899999999965"/>
        <n v="6634.0899999999965"/>
        <n v="1634.0899999999965"/>
        <n v="884.0899999999965"/>
        <n v="583.1899999999965"/>
        <n v="5083.189999999997"/>
        <n v="4080.189999999997"/>
        <n v="780.1899999999969"/>
        <n v="680.1899999999969"/>
        <n v="483.2899999999969"/>
        <n v="182.38999999999692"/>
      </sharedItems>
    </cacheField>
    <cacheField name="Difference" numFmtId="0">
      <sharedItems containsSemiMixedTypes="0" containsString="0" containsNumber="1">
        <n v="0.0"/>
        <n v="4.547473508864641E-12"/>
        <n v="4.661160346586257E-12"/>
        <n v="3.410605131648481E-12"/>
        <n v="3.524291969370097E-12"/>
        <n v="3.183231456205249E-12"/>
        <n v="3.126388037344441E-12"/>
        <n v="3.069544618483633E-1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67" sheet="June"/>
  </cacheSource>
  <cacheFields>
    <cacheField name="Date" numFmtId="14">
      <sharedItems containsSemiMixedTypes="0" containsDate="1" containsString="0"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6T00:00:00Z"/>
        <d v="2025-06-27T00:00:00Z"/>
        <d v="2025-06-30T00:00:00Z"/>
      </sharedItems>
    </cacheField>
    <cacheField name="Narration" numFmtId="0">
      <sharedItems>
        <s v="UPI-SWIGGY LIMITED-SWIGGY1ONLINE.GPAY@OKPAYAXIS-UTIB0000553-105733087084-UPI"/>
        <s v="NEFT CR-INDB0000006-UPWORK ESCROW INC-ARUNA V-INDBN52025060206510647"/>
        <s v="NEFT CR-INDB0000006-UPWORK ESCROW INC-YUVARAJ T-INDBN52025060206510462"/>
        <s v="UPI-HARITHA R -RADHAKRISHNANHARITHA08-2@OKHDFCBANK-TMBL0000123-105840516943-CAKE"/>
        <s v="IMPS-515412065542-ARYU ENTERPRISES PRIVATE LIMITED-INDB-XXXXXXXX5106-P2AMOB"/>
        <s v="UPI-ANKIT MAHESH  KOR-GFXTOOLZ@YBL-YESB0000618-105860127236-UPI"/>
        <s v="MULTIPLE-SALARY-YUVA-SAL-MAY-25.TXT"/>
        <s v="JANMAR25 INSTAALERTCHG 64 SMS 040425-MIR2615430052063"/>
        <s v="UPI-AIRTEL PAYMENTS BANK-AIRTELPOSTPAID@AXB-UTIB0000100-552165785470-DEBIT MONEY USING"/>
        <s v="UPI-MURUGAN M-MUNIAPPANMUNIAPPAN297-1@OKSBI-PUNB0792400-105921266536-TEA PAYMENT"/>
        <s v="NEFT DR-IDIB000A132-CAROLINE JOSHVA-NETBANK, MUM-HDFCN52025060575628579-RENT MAINTENANCE"/>
        <s v="MULTIPLE-SALARY-ARUNA-SAL-MAY-25.TXT"/>
        <s v="IMPS-515700350775-T YUVARAJ-HDFC-XXXXXXXXXX2374-OD LOAN FOR EMPLOYEE SALARY"/>
        <s v="IMPS-515819344730-T YUVARAJ-HDFC-XXXXXXXXXX5241-MEDICS  URBAN PAYMENT"/>
        <s v="QF05WZEXPZOFTA/GOOGLEADS"/>
        <s v="MULTIPLE-SALARY-EMP-SAL-MAY-25.TXT"/>
        <s v="UPI-ABDUL RAHMAN M-ABDULAR025@OKICICI-CNRB0000033-106250430210-MAY 2025 STIPEND F"/>
        <s v="UPI-BHARATHWAJ S-BHARATHWAJB599-1@OKHDFCBANK-HDFC0001254-106250481002-MAY 2025 STIPEND F"/>
        <s v="UPI-VENU D-DVENU6383@OKHDFCBANK-BKID0008260-106250511800-MAY 2025 STIPEND F"/>
        <s v="UPI-MR IYYAPPAN A-IYYAPPANMECH678@OKSBI-IDIB000A088-106250577720-MAY 2025 STIPEND F"/>
        <s v="UPI-MS KALAISELVI  K-KANNANSELVI130@OKHDFCBANK-CIUB0000467-106250984000-MAY 2025 STIPEND F"/>
        <s v="UPI-MR GURUKARTHIKEYAN M-GURUKARTHIKEYANKVP@OKSBI-IDIB000K051-106251036950-MAY 2025 STIPEND F"/>
        <s v="UPI-RAGUL  B-EUGINRAHUL@OKSBI-SBIN0000975-106251087746-MAY 2025 STIPEND F"/>
        <s v="UPI-MRS BHUVANESWARI PAT-DRBHUBHU587@OKHDFCBANK-IDIB000M132-106251172400-MAY 2025 STIPEND F"/>
        <s v="UPI-THILIPAN T-THILIP707-1@OKHDFCBANK-HDFC0003883-106251385154-AWS WORK PAYMENT"/>
        <s v="UPI-HEYRAM M-HEYRAM334@OKICICI-KVBL0001278-106252154708-MAY 2025 STIPEND F"/>
        <s v="UPI-KANIMOZHI T-KANITHANGAVEL7779-1@OKHDFCBANK-HDFC0001006-106257686045-BARATH SALARY"/>
        <s v="UPI-SHOPIFY COMMERCE SIN-SHOPIFYCOMMERCESINGAPORE.RZP@ICICI-ICIC0DC0099-516279644482-PAY VIA RAZORPAY"/>
        <s v="UPI-ARUNKUMAR RAMESH-7395997274@YBL-UCBA0002519-106334511557-MAY MONTH STIPEND"/>
        <s v="UPI-PALANISAMY  R-PALANISAMYR779@OKICICI-IOBA0001697-106335715018-JUNE MONTH STIPEND"/>
        <s v="UPI-BALAJI N-BALAJISOUNDHER899@OKAXIS-IBKL0001061-106336436091-MAY MONTH STIPEND"/>
        <s v="UPI-DHANASEKARAN T-TDHANASEKARAN202@OKAXIS-CNRB0000033-106337159073-MAY MONTH STIPEND"/>
        <s v="UPI-MURUGAN M-MUNIAPPANMUNIAPPAN297-1@OKSBI-PUNB0792400-106355675171-TEA PAYMENT"/>
        <s v="UPI-ARYU ACADEMY-YUVA.TANYA-3@OKHDFCBANK-KKBK0000468-106355786612-MEDICS"/>
        <s v="UPI-SWIGGY LIMITED-SWIGGY1ONLINE.GPAY@OKPAYAXIS-UTIB0000553-106528578943-UPI"/>
        <s v="NEFT CR-INDB0000006-UPWORK ESCROW INC-YUVARAJ T-INDBN52025061608479882"/>
        <s v="CBDT/BANK REFERENCE NO:K2516735542896/CIN NO:25061600120617HDFC/ONLINE"/>
        <s v="IMPS-516809973422-ARYU ENTERPRISES PRIVATE LIMITED-INDB-XXXXXXXX5106-P2AMOB"/>
        <s v="BHREN3U0NSG67M/EPFO"/>
        <s v="BHRE5ME0NSGBSY/EPFO"/>
        <s v="BHREZ4F0NSGFMI/EPFO"/>
        <s v="IMPS-516819172698-ARUNA V-HDFC-XXXXXXXXXX6479-GROCERY"/>
        <s v="UPI-ARYU ACADEMY-YUVA.TANYA-3@OKHDFCBANK-KKBK0000468-106647862665-CLIENT MEETING"/>
        <s v="BHREM270NVGLZP/EPFO"/>
        <s v="UPI-SURESH KUMAR V-SURESHDS2513@OKAXIS-TMBL0000370-106679644399-BHARATWAJ FRUITS"/>
        <s v="UPI-MURUGAN M-MUNIAPPANMUNIAPPAN297-1@OKSBI-PUNB0792400-106710877613-TEA PAYMENT"/>
        <s v="50200082642374-TPT-REPAYMENT TO OD LOAN-T YUVARAJ"/>
        <s v="UPI-QUICK OFFICE SOLUTIO-QUICKECORP-2@OKHDFCBANK-HDFC0000675-106769670660-HOSE KEEPING"/>
        <s v="UPI-XXXXXXXXXXX9053-UTIB0000016-106776603549-SYSTEM RENT ARYU A"/>
        <s v="GST/BANK REFERENCE NO: R2517164684015/CIN NO: HDFC25063300544428"/>
        <s v="UPI-RAHUL  R-RAHUL.RAJIV2001-1@OKSBI-SBIN0012877-106783923360-INCENTIVE FROM ARY"/>
        <s v="UPI-KISHORE KUMAR  S-KISHORE-8@PTYES-SBIN0012780-106786148622-ARYU EXPENSES"/>
        <s v="CASH DEPOSIT BY - SELF - ARUMBAKKAM"/>
        <s v="UPI-HARITHA R -RADHAKRISHNANHARITHA08-2@OKHDFCBANK-TMBL0000123-106822762538-CAKE"/>
        <s v="50200082642374-TPT-OD LOAN REPAYMENT-T YUVARAJ"/>
        <s v="UPI-PROTEAN EGOV TECHNOL-PAYTM-01478@PTYBL-YESB0PTMUPI-106917726188-UPI"/>
        <s v="UPI-GOOGLE INDIA SERVICE-GPAYRECHARGE@ICICI-ICIC0DC0099-106925712509-UPI"/>
        <s v="UPI-MR IYYAPPAN A-IYYAPPANMECH678@OKSBI-IDIB000A088-107073319139-CAKE"/>
        <s v="UPI-THE HINDU GROUP-PAYTM-8740186@PTYBL-YESB0PTMUPI-107116744551-UPI"/>
        <s v="UPI-MURUGAN M-MUNIAPPANMUNIAPPAN297-1@OKSBI-PUNB0792400-107146238207-TEA PAYMENT"/>
        <s v="UPI-GOOGLE INDIA DIGITAL-GPAYRECHARGE@OKPAYAXIS-UTIB0000553-107274206197-UPI"/>
        <s v="UPI-KISHORE KUMAR  S-KISHORE-8@PTYES-SBIN0012780-107277285952-AVINSAA  SHOOT"/>
        <s v="UPI-RAHUL  R-RAHUL.RAJIV2001-1@OKSBI-SBIN0012877-107278232208-AVINSAA STATIONERY"/>
        <s v="NEFT CR-CIUB0000280-INNERPECE-ARYU ENTERPRISES PRIVATE LIMIT-CIUBN52025063081009101"/>
        <s v="UPI-GOOGLE INDIA SERVICE-GPAYRECHARGE@ICICI-ICIC0DC0099-107292196609-UPI"/>
        <s v="UPI-CORPORATENAUKRI-CORPORATE.NAUKRI.PAYU@AXISBANK-UTIB0000000-499679581815-UPI TRANSACTION"/>
      </sharedItems>
    </cacheField>
    <cacheField name="Ledger" numFmtId="0">
      <sharedItems>
        <s v="Employee Welfare Expenses"/>
        <s v="Sales"/>
        <s v="HDFC Bk Ac No - 50200064135746 from Indus Bk Ac No - 259994715106"/>
        <s v="Software Subscription"/>
        <s v="Director Salary"/>
        <s v="Bank Charges"/>
        <s v="Internet Charges"/>
        <s v="Office Rent &amp; Maintenance"/>
        <s v="Secured Loan"/>
        <s v="Salary"/>
        <s v="Stipend"/>
        <s v="Commission paid"/>
        <s v="Prepaid Asset (Current Assets)"/>
        <s v="Employee Provident Fund Expenses"/>
        <s v="Drawings"/>
        <s v="Travel &amp; Accomodation"/>
        <s v="Office Expenses"/>
        <s v="Equipment Rental Expenses"/>
        <s v="Incentive"/>
        <s v="Cash"/>
        <s v="Administraion Expenses"/>
        <s v="Telephone Expenditure"/>
        <s v="Marketing and Advertisement Expenditure"/>
        <s v="Recruiting Expenses"/>
      </sharedItems>
    </cacheField>
    <cacheField name="Reason" numFmtId="0">
      <sharedItems containsBlank="1">
        <s v="Cost of refreshments (Food) for staff"/>
        <s v="Upwork Aruna"/>
        <s v="Upwork Yuvaraj"/>
        <s v="Cost of cake for employee birthday celebrations"/>
        <s v="Self Transfer"/>
        <s v="Tools Buy"/>
        <s v="Yuvaraj"/>
        <s v="Bank Charges"/>
        <s v="Expense for internet connectivity - AIRTEL"/>
        <s v="Cost of refreshments (Tea and Snacks) for staff"/>
        <s v="Rent for office -CAROLINE JOSHVA"/>
        <s v="Aruna"/>
        <s v="Loan from Yuvaraj OD Account"/>
        <m/>
        <s v="G-suit from Google office purpose"/>
        <s v="Multiple Employees"/>
        <s v="Abdhul Rahman"/>
        <s v="Bharathwaj S"/>
        <s v="Venu D"/>
        <s v="Iyyappan A"/>
        <s v="Kaasni"/>
        <s v="Gurukarthikeyan M"/>
        <s v="Ragul  B"/>
        <s v="Bhuvaneswari Pat"/>
        <s v="Thilipan"/>
        <s v="Heyram M"/>
        <s v="Barath K"/>
        <s v="To shopify Commerce Sin"/>
        <s v="Arunkumar Ramesh"/>
        <s v="Palanisamy"/>
        <s v="Balaji N"/>
        <s v="Dhanasekaran"/>
        <s v="Advance tax paid for 1Q"/>
        <s v="ER contribution  Jan-21 Month PF- Arrear Retuns - For Directors"/>
        <s v="ER contribution  Feb-21 Month PF- Arrear Retuns - For Directors"/>
        <s v="ER contribution  Mar-21 Month PF- Arrear Retuns - For Directors"/>
        <s v="Grocery"/>
        <s v="Client Meeting"/>
        <s v="ER&amp;EE  Contribution May-25 Month PF- ECR Retuns - For Directors &amp; Employees"/>
        <s v="House Keeping"/>
        <s v="Rental expense for Office system"/>
        <s v="GST PAID for commercial purpose (ITC Claimed)"/>
        <s v="Rahul R"/>
        <s v="Kishore"/>
        <s v="cash"/>
        <s v="PAN Reprint application fee"/>
        <s v="Mobile Recharge"/>
        <s v="purchase of newspapers for staff welfare during tea time"/>
        <s v="Shoot expenses associated with creating promotional content"/>
        <s v="stationery"/>
        <s v="Innerpece"/>
        <s v="Recruitment Expenses on Naukri portal"/>
      </sharedItems>
    </cacheField>
    <cacheField name="Withdrawal Amt." numFmtId="0">
      <sharedItems containsString="0" containsBlank="1" containsNumber="1">
        <n v="139.0"/>
        <m/>
        <n v="800.0"/>
        <n v="649.0"/>
        <n v="90842.0"/>
        <n v="15.1"/>
        <n v="588.82"/>
        <n v="1800.0"/>
        <n v="18875.0"/>
        <n v="77992.0"/>
        <n v="1628.4"/>
        <n v="153526.0"/>
        <n v="7000.0"/>
        <n v="6860.0"/>
        <n v="4200.0"/>
        <n v="6440.0"/>
        <n v="3000.0"/>
        <n v="5880.0"/>
        <n v="8400.0"/>
        <n v="5040.0"/>
        <n v="2200.0"/>
        <n v="6137.0"/>
        <n v="23.6"/>
        <n v="6000.0"/>
        <n v="5460.0"/>
        <n v="4220.0"/>
        <n v="1550.0"/>
        <n v="12000.0"/>
        <n v="442.0"/>
        <n v="10000.0"/>
        <n v="3600.0"/>
        <n v="5000.0"/>
        <n v="1000.0"/>
        <n v="30300.0"/>
        <n v="500.0"/>
        <n v="1515.0"/>
        <n v="130000.0"/>
        <n v="2274.0"/>
        <n v="7100.0"/>
        <n v="3308.0"/>
        <n v="2000.0"/>
        <n v="2450.0"/>
        <n v="250000.0"/>
        <n v="50.0"/>
        <n v="180.9"/>
        <n v="770.0"/>
        <n v="999.0"/>
        <n v="3070.0"/>
        <n v="300.9"/>
        <n v="250.0"/>
        <n v="3009.0"/>
      </sharedItems>
    </cacheField>
    <cacheField name="Deposit Amt." numFmtId="0">
      <sharedItems containsString="0" containsBlank="1" containsNumber="1">
        <m/>
        <n v="21920.58"/>
        <n v="60470.32"/>
        <n v="127191.08"/>
        <n v="60000.0"/>
        <n v="175000.0"/>
        <n v="112495.75"/>
        <n v="127870.31"/>
        <n v="250000.0"/>
        <n v="8850.0"/>
      </sharedItems>
    </cacheField>
    <cacheField name="Closing Balance" numFmtId="0">
      <sharedItems containsSemiMixedTypes="0" containsString="0" containsNumber="1">
        <n v="43.39"/>
        <n v="21963.97"/>
        <n v="82434.29"/>
        <n v="81634.29"/>
        <n v="208825.37"/>
        <n v="208176.37"/>
        <n v="117334.37"/>
        <n v="117319.27"/>
        <n v="116730.45"/>
        <n v="114930.45"/>
        <n v="96055.45"/>
        <n v="18063.45"/>
        <n v="78063.45"/>
        <n v="253063.45"/>
        <n v="251435.05"/>
        <n v="97909.05"/>
        <n v="90909.05"/>
        <n v="84049.05"/>
        <n v="79849.05"/>
        <n v="73409.05"/>
        <n v="70409.05"/>
        <n v="64529.05"/>
        <n v="56129.05"/>
        <n v="51089.05"/>
        <n v="48889.05"/>
        <n v="41889.05"/>
        <n v="35752.05"/>
        <n v="35728.45"/>
        <n v="29728.45"/>
        <n v="24268.45"/>
        <n v="18388.45"/>
        <n v="14168.45"/>
        <n v="12618.45"/>
        <n v="618.45"/>
        <n v="176.45"/>
        <n v="112672.2"/>
        <n v="102672.2"/>
        <n v="230542.51"/>
        <n v="226942.51"/>
        <n v="223342.51"/>
        <n v="219742.51"/>
        <n v="214742.51"/>
        <n v="213742.51"/>
        <n v="183442.51"/>
        <n v="182942.51"/>
        <n v="181427.51"/>
        <n v="51427.51"/>
        <n v="49153.51"/>
        <n v="42053.51"/>
        <n v="38745.51"/>
        <n v="36745.51"/>
        <n v="34745.51"/>
        <n v="284745.51"/>
        <n v="282295.51"/>
        <n v="32295.51"/>
        <n v="32245.51"/>
        <n v="32064.61"/>
        <n v="31294.61"/>
        <n v="30295.61"/>
        <n v="27225.61"/>
        <n v="26924.71"/>
        <n v="26424.71"/>
        <n v="26174.71"/>
        <n v="35024.71"/>
        <n v="34723.81"/>
        <n v="31714.81"/>
      </sharedItems>
    </cacheField>
    <cacheField name="closing balance2" numFmtId="0">
      <sharedItems containsSemiMixedTypes="0" containsString="0" containsNumber="1">
        <n v="43.38999999999692"/>
        <n v="21963.969999999998"/>
        <n v="82434.29"/>
        <n v="81634.29"/>
        <n v="208825.37"/>
        <n v="208176.37"/>
        <n v="117334.37"/>
        <n v="117319.26999999999"/>
        <n v="116730.44999999998"/>
        <n v="114930.44999999998"/>
        <n v="96055.44999999998"/>
        <n v="18063.449999999983"/>
        <n v="78063.44999999998"/>
        <n v="253063.44999999998"/>
        <n v="251435.05"/>
        <n v="97909.04999999999"/>
        <n v="90909.04999999999"/>
        <n v="84049.04999999999"/>
        <n v="79849.04999999999"/>
        <n v="73409.04999999999"/>
        <n v="70409.04999999999"/>
        <n v="64529.04999999999"/>
        <n v="56129.04999999999"/>
        <n v="51089.04999999999"/>
        <n v="48889.04999999999"/>
        <n v="41889.04999999999"/>
        <n v="35752.04999999999"/>
        <n v="35728.44999999999"/>
        <n v="29728.44999999999"/>
        <n v="24268.44999999999"/>
        <n v="18388.44999999999"/>
        <n v="14168.44999999999"/>
        <n v="12618.44999999999"/>
        <n v="618.4499999999898"/>
        <n v="176.4499999999898"/>
        <n v="112672.19999999998"/>
        <n v="102672.19999999998"/>
        <n v="230542.50999999998"/>
        <n v="226942.50999999998"/>
        <n v="223342.50999999998"/>
        <n v="219742.50999999998"/>
        <n v="214742.50999999998"/>
        <n v="213742.50999999998"/>
        <n v="183442.50999999998"/>
        <n v="182942.50999999998"/>
        <n v="181427.50999999998"/>
        <n v="51427.50999999998"/>
        <n v="49153.50999999998"/>
        <n v="42053.50999999998"/>
        <n v="38745.50999999998"/>
        <n v="36745.50999999998"/>
        <n v="34745.50999999998"/>
        <n v="284745.51"/>
        <n v="282295.51"/>
        <n v="32295.51000000001"/>
        <n v="32245.51000000001"/>
        <n v="32064.610000000008"/>
        <n v="31294.610000000008"/>
        <n v="30295.610000000008"/>
        <n v="27225.610000000008"/>
        <n v="26924.710000000006"/>
        <n v="26424.710000000006"/>
        <n v="26174.710000000006"/>
        <n v="35024.71000000001"/>
        <n v="34723.810000000005"/>
        <n v="31714.810000000005"/>
      </sharedItems>
    </cacheField>
    <cacheField name="Difference" numFmtId="0">
      <sharedItems containsSemiMixedTypes="0" containsString="0" containsNumber="1">
        <n v="3.083755473198835E-12"/>
        <n v="0.0"/>
        <n v="1.0231815394945443E-11"/>
        <n v="1.0174971976084635E-11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78" sheet="July"/>
  </cacheSource>
  <cacheFields>
    <cacheField name="Date" numFmtId="14">
      <sharedItems containsSemiMixedTypes="0" containsDate="1" containsString="0">
        <d v="2025-07-01T00:00:00Z"/>
        <d v="2025-07-03T00:00:00Z"/>
        <d v="2025-07-04T00:00:00Z"/>
        <d v="2025-07-05T00:00:00Z"/>
        <d v="2025-07-06T00:00:00Z"/>
        <d v="2025-07-07T00:00:00Z"/>
        <d v="2025-07-08T00:00:00Z"/>
        <d v="2025-07-11T00:00:00Z"/>
        <d v="2025-07-14T00:00:00Z"/>
        <d v="2025-07-15T00:00:00Z"/>
        <d v="2025-07-17T00:00:00Z"/>
        <d v="2025-07-18T00:00:00Z"/>
        <d v="2025-07-19T00:00:00Z"/>
        <d v="2025-07-21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</sharedItems>
    </cacheField>
    <cacheField name="Narration" numFmtId="0">
      <sharedItems>
        <s v="BHDFJXC0P20VOD/BILLDKPLAYSTOREGOOGL"/>
        <s v="UPI-HARITHA R -RADHAKRISHNANHARITHA08-2@OKHDFCBANK-TMBL0000123-107466874110-KAASINI CAKE"/>
        <s v="UPI-SURESH KUMAR V-SURESHDS2513@OKAXIS-TMBL0000370-107467315344-UPI"/>
        <s v="IMPS-518513095777-ARYU ENTERPRISES PRIVATE LIMITED-INDB-XXXXXXXX5106-P2AMOB"/>
        <s v="MULTIPLE-SALARY-YUVA-JUNE.TXT"/>
        <s v="NEFT DR-IDIB000A132-CAROLINE JOSHVA-NETBANK, MUM-HDFCN52025070535412667-RENT MAINTENANCE"/>
        <s v="NEFT DR-KKBK0000468-ARYU ACADEMY-NETBANK, MUM-HDFCN52025070535475878-RENT MAINTENANCE"/>
        <s v="UPI-T YUVARAJ-YUVA.TANYA@OKHDFCBANK-HDFC0003760-107584472920-UPI"/>
        <s v="UPI-DIYA BEAUTY ACADEMY-MAB0451112A0095424@YESBANK-YESB0000419-107584517586-UPI"/>
        <s v="UPI-ILYAS P-PAYTMQR5VTORN@PTYS-YESB0PTMUPI-107584742152-UPI"/>
        <s v="UPI-SARANRAJ MUTHUSAMY S-ITSSARANRAAJ-2@OKSBI-FDRL0001657-518612486251-SYSTEM RENT"/>
        <s v="UPI-DIYA BEAUTY ACADEMY-MAB0451112A0095424@YESBANK-YESB0000419-107643229872-UPI"/>
        <s v="UPI-AVENUE SUPERMARTS LT-PINEDMARTTN@ICICI-ICIC0DC0099-107653323193-UPI"/>
        <s v="NEFT CR-KKBK0000958-OCCD PRIVATE LIMITED-ARYU ENTERPRISES PRIVATE LIMITED-KKBKN62025070747335087"/>
        <s v="UPI-TANGEDCO-TANGEDCO@INDIANBK-IDIB000A089-107674753788-TANGEDCO PORTAL QR"/>
        <s v="UPI-XXXXXXXXXXX9053-UTIB0000016-107674827095-JUNE RENT"/>
        <s v="UPI-ANKYAI-ANKY.AI@IDFCBANK-IDFB0040197-107752416487-UPI"/>
        <s v="UPI-KISHORE KUMAR S-KISHORE-8@PTYES-SBIN0012780-107938940239-UPI"/>
        <s v="UPI-ROHITH R SHERWIN-SHERWINROHITH-1@OKSBI-SBIN0070016-107941865793-ADVANCE"/>
        <s v="UPI-XXXXXXXXXXX9053-UTIB0000016-108080738686-UPI"/>
        <s v="NEFT CR-INDB0000006-UPWORK ESCROW INC-ARUNA V-INDBN52025071402516138"/>
        <s v="NEFT CR-INDB0000006-UPWORK ESCROW INC-YUVARAJ T-INDBN52025071402516039"/>
        <s v="NEFT DR-IDFB0081831-SRIPRIYAA L AND CO-NETBANK, MUM-HDFCN52025071556048799-INCORPORATION ADVC"/>
        <s v="UPI-HOSTINGER PTE LTD-HOSTINGERPTELTD.RZP@ICICI-ICIC0DC0099-519660985701-PAY VIA RAZORPAY"/>
        <s v="UPI-HOSTINGER PTE LTD-HOSTINGERPTELTD184.RZP@ICICI-ICIC0DC0099-108142289349-PAYMENTTOHOSTINGER"/>
        <s v="UPI-GOOGLE INDIA DIGITAL-GPAY-TV-INTERNET@OKPAYAXIS-UTIB0000553-108143574371-UPI"/>
        <s v="UPI-ATRIA CONVERGENCE TE-ACTPL.BILLDESK@HDFCBANK-HDFC0MERUPI-100981961885-ACTTV"/>
        <s v="UPI-MURUGAN M-MUNIAPPANMUNIAPPAN297-1@OKSBI-PUNB0792400-108148384184-TEA PAYMENT"/>
        <s v="BHREUJK0QGBXOC/EPFO"/>
        <s v="UPI-MEDICS RESEARCH-JABARALI2009-2@OKHDFCBANK-HDFC0006889-108162113747-UPI"/>
        <s v="UPI-GOOGLE INDIA DIGITAL-GPAYRECHARGE@OKPAYAXIS-UTIB0000553-108233254067-UPI"/>
        <s v="UPI-ENTERPRISE BROADBAND-PAYTM-57621217@PTYBL-YESB0PTMUPI-108295279044-UPI"/>
        <s v="UPI-AIRTEL PAYMENTS BANK-AIRTELPAYMENTSBANKLIMI-8027499.PAYU@INDUS-INDB0MERCHA-100159132129-UPI TRANSACTION"/>
        <s v="IMPS-519916331323-ARYU ENTERPRISES PRIVATE LIMITED-INDB-XXXXXXXX5106-P2AMOB"/>
        <s v="UPI-GOODS AND SERVICES T-GOODSANDSERVICESTAXN.76088835@HDFCBANK-HDFC0MERUPI-101003500851-GSTN"/>
        <s v="MULTIPLE-SALARY-JUNE-EMP-SAL.TXT"/>
        <s v="UPI-BHARATHWAJ S-BHARATHWAJB599-1@OKHDFCBANK-HDFC0001254-108315657465-JUNE 2025 SALARY F"/>
        <s v="UPI-VENU D-DVENU6383@OKHDFCBANK-BKID0008260-108315710682-JUNE 2025 SALARY F"/>
        <s v="UPI-ROHITH R SHERWIN-SHERWINROHITH-1@OKSBI-SBIN0070016-108315850667-JUNE 2025 STIPEND"/>
        <s v="UPI-RAGUL  B-EUGINRAHUL@OKSBI-SBIN0000975-108315913716-JUNE 2025 SALARY F"/>
        <s v="UPI-MR IYYAPPAN A-IYYAPPANMECH678@OKSBI-IDIB000A088-108315960843-JUNE 2025 STIPEND"/>
        <s v="UPI-R ABITHA-RAVIABI698@OKSBI-IOBA0001092-108316385035-JUNE 2025 STIPEND"/>
        <s v="UPI-THILIPAN T-THILIP707-1@OKHDFCBANK-HDFC0003883-108316562677-AWS WORK PAYMENT"/>
        <s v="UPI-ABDUL RAHMAN M-ABDULAR025@OKICICI-CNRB0000033-108316637674-JUNE 2025 SALARY F"/>
        <s v="UPI-MR BARATH K-PAZHAYASORU101-2@OKHDFCBANK-IDIB000K087-108316696811-JUNE 2025 SALARY F"/>
        <s v="UPI-MS KALAISELVI  K-KANNANSELVI130@OKHDFCBANK-CIUB0000467-108316848489-JUNE 2025 STIPEND"/>
        <s v="UPI-MRS BHUVANESWARI PAT-BHUVANA27601@OKSBI-IDIB000M132-108317325450-UPI"/>
        <s v="UPI-MRS RAJAKUMARI M-3111982RAJI@OKICICI-IDIB000J019-108317495323-HEYRAM JUNE 2025 S"/>
        <s v="UPI-HARITHA R -RADHAKRISHNANHARITHA08-2@OKHDFCBANK-TMBL0000123-108344401724-UPI"/>
        <s v="UPI-GOOGLE INDIA DIGITAL-GPAYRECHARGE@OKPAYAXIS-UTIB0000553-108458734401-UPI"/>
        <s v="UPI-ARYU ACADEMY-YUVA.TANYA-3@OKHDFCBANK-KKBK0000468-108488920663-UPI"/>
        <s v="UPI-HOSTINGER PTE LTD-HOSTINGERPTELTD.RZP@ICICI-ICIC0DC0099-520294777300-PAY VIA RAZORPAY"/>
        <s v="NEFT CR-INDB0000006-UPWORK ESCROW INC-YUVARAJ T-INDBN52025072503881926"/>
        <s v="UPI-BALAJI N-BALAJISOUNDHER899@OKAXIS-IBKL0001061-108691348916-JUNE MONTH STIPEND"/>
        <s v="UPI-EZHILARASU S-EZHILKING189@OKSBI-CNRB0000033-108691521879-JUNE MONTH STIPEND"/>
        <s v="UPI-SURESH KUMAR V-SURESHDS2513@OKAXIS-TMBL0000370-108712013968-AUTO"/>
        <s v="UPI-HSB KPM MMC 1-PAYTM-73488905@PTYS-YESB0PTMUPI-108714787163-BREAKFAST AMBUR"/>
        <s v="UPI-SHANMUGAM S-PAYTMQR10CJLK@PAYTM-YESB0PTMUPI-108719925578-SNACKS"/>
        <s v="UPI-ESWARIBRIYANICENTRE-IPPOPAYQYMS016F8F94T@FINITMB-IDIB000A090-108720985325-UPI"/>
        <s v="UPI-SANGEETHA VEG RESTAU-Q78544616@YBL-YESB0YBLUPI-108756155308-UPI"/>
        <s v="UPI-MRS JAGADHAMBIGAI J-JAGADHAJAGADHISH427@OKSBI-IDIB000R022-108768503585-UPI"/>
        <s v="UPI-ARYU ACADEMY-YUVA.TANYA-3@OKHDFCBANK-KKBK0000468-108777457523-UPI"/>
        <s v="UPI-ARYU ACADEMY-YUVA.TANYA-3@OKHDFCBANK-KKBK0000468-108804581312-UPI"/>
        <s v="UPI-GOOGLE INDIA SERVICE-GPAYRECHARGE@ICICI-ICIC0DC0099-108824136401-UPI"/>
        <s v="UPI-SRINIVASAN  S-SREEMAHA1780-4@OKHDFCBANK-BKID0008040-108829001426-MOTTA RICE"/>
        <s v="UPI-RAHUL  R-RAHUL.RAJIV2001-1@OKSBI-SBIN0012877-108829188847-INCENTIVE FROM ARY"/>
        <s v="UPI-GOODS AND SERVICES T-GOODSANDSERVICESTAXN.76088835@HDFCBANK-HDFC0MERUPI-101068545922-GSTN"/>
        <s v="UPI-MURUGAN M-MUNIAPPANMUNIAPPAN297-1@OKSBI-PUNB0792400-108877808984-TEA PAYMENTS"/>
        <s v="UPI-AVENUE SUPERMARTS LI-AVENUESUPERMARTSLIMI.27318527@HDFCBANK-HDFC0MERUPI-108904306548-UPI"/>
        <s v="UPI-LIFESTYLE 3103-PAYTM-81356576@PTYS-YESB0PTMUPI-108904455053-UPI"/>
        <s v="UPI-T YUVARAJ-YUVA.TANYA@OKHDFCBANK-HDFC0003760-108920757882-UPI"/>
        <s v="UPI-MR GURUKARTHIKEYAN M-GURUKARTHIKEYANKVP@OKICICI-IDIB000K051-108928311927-ARYU STIPEND JUNE"/>
        <s v="NEFT DR-PUNB0010400-STORYRISE-NETBANK, MUM-HDFCN52025073079583932-ADVERTISEMENT"/>
        <s v="UPI-AMEENA BEGUM A-AMEENAJAVID1126-2@OKSBI-SBIN0006495-108947859100-TUITION"/>
        <s v="UPI-ROHITH R SHERWIN-SHERWINROHITH-1@OKSBI-SBIN0070016-108965214450-ADVANCE"/>
        <s v="UPI-T YUVARAJ-YUVA.TANYA@OKHDFCBANK-HDFC0003760-108971741571-BNI MEETING"/>
        <s v="UPI-HOSTINGER PTE LTD-HOSTINGERPTELTD.RZP@ICICI-ICIC0DC0099-521246528774-PAY VIA RAZORPAY"/>
      </sharedItems>
    </cacheField>
    <cacheField name="Ledger" numFmtId="0">
      <sharedItems>
        <s v="Software Subscription"/>
        <s v="Employee Welfare Expenses"/>
        <s v="Drawings"/>
        <s v="HDFC Bk Ac No - 50200064135746 from Indus Bk Ac No - 259994715106"/>
        <s v="Director Salary"/>
        <s v="Office Rent &amp; Maintenance"/>
        <s v="Creditor"/>
        <s v="Equipment Rental Expenses"/>
        <s v="Sales"/>
        <s v="Electricity Charges"/>
        <s v="Stipend"/>
        <s v="Audit Fees"/>
        <s v="Internet Charges"/>
        <s v="Employee Provident Fund Expenses"/>
        <s v="Telephone Expenditure"/>
        <s v="Prepaid Asset (Current Assets)"/>
        <s v="Salary"/>
        <s v="Travel &amp; Accomodation"/>
        <s v="Incentive"/>
        <s v="Marketing and Advertisement Expenditure"/>
        <s v="Office Expenses"/>
      </sharedItems>
    </cacheField>
    <cacheField name="Reason" numFmtId="0">
      <sharedItems>
        <s v="G-suit from Google office purpose"/>
        <s v="Cost of cake for employee birthday celebrations"/>
        <s v="Personal Purpose"/>
        <s v="Self Transfer"/>
        <s v="Yuvaraj"/>
        <s v="Rent for office -CAROLINE JOSHVA"/>
        <s v="Rent for office -Sherin"/>
        <s v="Rental expense for Office system he Give for Avinsaa"/>
        <s v="Bug Fixing"/>
        <s v="EB Payment"/>
        <s v="Rental expense for Office system"/>
        <s v="Cost of refreshments (Food) for staff"/>
        <s v="ROHITH R"/>
        <s v="Rental expense for Office system (pending Amount)"/>
        <s v="Upwork Aruna"/>
        <s v="Upwork Yuvaraj"/>
        <s v="Aryu Academy Incorporation"/>
        <s v="Hostinger"/>
        <s v="Expense for internet connectivity - ACT"/>
        <s v="Cost of refreshments (Tea and Snacks) for staff"/>
        <s v="ER&amp;EE  Contribution Jun-25 Month PF- ECR Retuns - For Directors &amp; Employees"/>
        <s v="Medics Project"/>
        <s v="Mobile Recharge"/>
        <s v="Expense for internet connectivity - JIO"/>
        <s v="GST PAID for commercial purpose (ITC Claimed)"/>
        <s v="Multiple Employees"/>
        <s v="Bharathwaj S"/>
        <s v="Venu D"/>
        <s v="Ragul  B"/>
        <s v="Iyyappan A"/>
        <s v="Abitha"/>
        <s v="Thilipan"/>
        <s v="Abdhul Rahman"/>
        <s v="Barath K"/>
        <s v="kalaiselvi K"/>
        <s v="Bhuvaneshwari"/>
        <s v="Heyram M"/>
        <s v="Haritha"/>
        <s v="Balaji N"/>
        <s v="Ezhilarasu S"/>
        <s v="Spent cost for auto Suresh Kumar V"/>
        <s v="Break fast client Meet ambur"/>
        <s v="Rahul R"/>
        <s v="GST PAID for commercial purpose (ITC Claimed)(avinsaa)"/>
        <s v="Lifestyle 3103"/>
        <s v="T Yuvaraj"/>
        <s v="Gurukarthikeyan M"/>
        <s v="Shoot expenses associated with creating promotional content"/>
        <s v="Ameena Begum A Teaching Employees Doubts"/>
        <s v="Rohith"/>
        <s v="BNI Meeting"/>
      </sharedItems>
    </cacheField>
    <cacheField name="Withdrawal Amt." numFmtId="0">
      <sharedItems containsString="0" containsBlank="1" containsNumber="1">
        <n v="1628.4"/>
        <n v="700.0"/>
        <n v="500.0"/>
        <m/>
        <n v="90842.0"/>
        <n v="18875.0"/>
        <n v="2050.0"/>
        <n v="100.0"/>
        <n v="670.0"/>
        <n v="1148.6"/>
        <n v="24629.0"/>
        <n v="7100.0"/>
        <n v="649.0"/>
        <n v="555.0"/>
        <n v="3815.0"/>
        <n v="7500.0"/>
        <n v="1193.93"/>
        <n v="1712.72"/>
        <n v="1650.82"/>
        <n v="2970.0"/>
        <n v="27593.0"/>
        <n v="300.9"/>
        <n v="5313.54"/>
        <n v="236.0"/>
        <n v="3308.0"/>
        <n v="115224.0"/>
        <n v="4857.0"/>
        <n v="7942.0"/>
        <n v="4826.0"/>
        <n v="8696.0"/>
        <n v="5783.0"/>
        <n v="4239.0"/>
        <n v="4200.0"/>
        <n v="8327.0"/>
        <n v="5867.0"/>
        <n v="4000.0"/>
        <n v="6087.0"/>
        <n v="6543.0"/>
        <n v="2800.0"/>
        <n v="180.9"/>
        <n v="1699.0"/>
        <n v="2283.0"/>
        <n v="4261.0"/>
        <n v="1500.0"/>
        <n v="665.0"/>
        <n v="70.0"/>
        <n v="110.0"/>
        <n v="761.0"/>
        <n v="1575.0"/>
        <n v="1000.0"/>
        <n v="2500.0"/>
        <n v="2000.0"/>
        <n v="2700.0"/>
        <n v="2831.5"/>
        <n v="400.0"/>
        <n v="7000.0"/>
        <n v="15000.0"/>
        <n v="2100.0"/>
        <n v="896.44"/>
      </sharedItems>
    </cacheField>
    <cacheField name="Deposit Amt." numFmtId="0">
      <sharedItems containsString="0" containsBlank="1" containsNumber="1">
        <m/>
        <n v="127472.0"/>
        <n v="3000.0"/>
        <n v="2970.0"/>
        <n v="10620.0"/>
        <n v="16330.68"/>
        <n v="25410.64"/>
        <n v="70800.0"/>
        <n v="128313.51"/>
        <n v="300.0"/>
        <n v="79688.66"/>
      </sharedItems>
    </cacheField>
    <cacheField name="Closing Balance" numFmtId="0">
      <sharedItems containsSemiMixedTypes="0" containsString="0" containsNumber="1">
        <n v="30086.41"/>
        <n v="29386.41"/>
        <n v="28886.41"/>
        <n v="156358.41"/>
        <n v="65516.41"/>
        <n v="46641.41"/>
        <n v="27766.41"/>
        <n v="30766.41"/>
        <n v="28716.41"/>
        <n v="28616.41"/>
        <n v="31586.41"/>
        <n v="30916.41"/>
        <n v="29767.81"/>
        <n v="40387.81"/>
        <n v="15758.81"/>
        <n v="8658.81"/>
        <n v="8009.81"/>
        <n v="7454.81"/>
        <n v="6954.81"/>
        <n v="3139.81"/>
        <n v="19470.49"/>
        <n v="44881.13"/>
        <n v="37381.13"/>
        <n v="36187.2"/>
        <n v="34993.27"/>
        <n v="33280.55"/>
        <n v="31629.73"/>
        <n v="28659.73"/>
        <n v="1066.73"/>
        <n v="71866.73"/>
        <n v="71565.83"/>
        <n v="66252.29"/>
        <n v="66016.29"/>
        <n v="194329.8"/>
        <n v="191021.8"/>
        <n v="75797.8"/>
        <n v="70940.8"/>
        <n v="62998.8"/>
        <n v="58172.8"/>
        <n v="49476.8"/>
        <n v="43693.8"/>
        <n v="39454.8"/>
        <n v="35254.8"/>
        <n v="26927.8"/>
        <n v="21060.8"/>
        <n v="17060.8"/>
        <n v="10973.8"/>
        <n v="4430.8"/>
        <n v="1630.8"/>
        <n v="1449.9"/>
        <n v="1749.9"/>
        <n v="50.9"/>
        <n v="79739.56"/>
        <n v="77456.56"/>
        <n v="73195.56"/>
        <n v="71695.56"/>
        <n v="71030.56"/>
        <n v="70960.56"/>
        <n v="70850.56"/>
        <n v="70089.56"/>
        <n v="68514.56"/>
        <n v="67514.56"/>
        <n v="65014.56"/>
        <n v="64713.66"/>
        <n v="63213.66"/>
        <n v="61213.66"/>
        <n v="58513.66"/>
        <n v="55713.66"/>
        <n v="52882.16"/>
        <n v="52482.16"/>
        <n v="48482.16"/>
        <n v="41482.16"/>
        <n v="26482.16"/>
        <n v="24382.16"/>
        <n v="23882.160000000025"/>
        <n v="21882.160000000025"/>
        <n v="20985.720000000027"/>
      </sharedItems>
    </cacheField>
    <cacheField name="closing balance2" numFmtId="0">
      <sharedItems containsSemiMixedTypes="0" containsString="0" containsNumber="1">
        <n v="30086.410000000003"/>
        <n v="29386.410000000003"/>
        <n v="28886.410000000003"/>
        <n v="156358.41"/>
        <n v="65516.41"/>
        <n v="46641.41"/>
        <n v="27766.410000000003"/>
        <n v="30766.410000000003"/>
        <n v="28716.410000000003"/>
        <n v="28616.410000000003"/>
        <n v="31586.410000000003"/>
        <n v="30916.410000000003"/>
        <n v="29767.810000000005"/>
        <n v="40387.810000000005"/>
        <n v="15758.810000000005"/>
        <n v="8658.810000000005"/>
        <n v="8009.810000000005"/>
        <n v="7454.810000000005"/>
        <n v="6954.810000000005"/>
        <n v="3139.810000000005"/>
        <n v="19470.490000000005"/>
        <n v="44881.130000000005"/>
        <n v="37381.130000000005"/>
        <n v="36187.200000000004"/>
        <n v="34993.270000000004"/>
        <n v="33280.55"/>
        <n v="31629.730000000003"/>
        <n v="28659.730000000003"/>
        <n v="1066.7300000000032"/>
        <n v="71866.73000000001"/>
        <n v="71565.83000000002"/>
        <n v="66252.29000000002"/>
        <n v="66016.29000000002"/>
        <n v="194329.80000000002"/>
        <n v="191021.80000000002"/>
        <n v="75797.80000000002"/>
        <n v="70940.80000000002"/>
        <n v="62998.80000000002"/>
        <n v="58172.80000000002"/>
        <n v="49476.80000000002"/>
        <n v="43693.80000000002"/>
        <n v="39454.80000000002"/>
        <n v="35254.80000000002"/>
        <n v="26927.800000000017"/>
        <n v="21060.800000000017"/>
        <n v="17060.800000000017"/>
        <n v="10973.800000000017"/>
        <n v="4430.8000000000175"/>
        <n v="1630.8000000000175"/>
        <n v="1449.9000000000174"/>
        <n v="1749.9000000000174"/>
        <n v="50.90000000001737"/>
        <n v="79739.56000000003"/>
        <n v="77456.56000000003"/>
        <n v="73195.56000000003"/>
        <n v="71695.56000000003"/>
        <n v="71030.56000000003"/>
        <n v="70960.56000000003"/>
        <n v="70850.56000000003"/>
        <n v="70089.56000000003"/>
        <n v="68514.56000000003"/>
        <n v="67514.56000000003"/>
        <n v="65014.56000000003"/>
        <n v="64713.660000000025"/>
        <n v="63213.660000000025"/>
        <n v="61213.660000000025"/>
        <n v="58513.660000000025"/>
        <n v="55713.660000000025"/>
        <n v="52882.160000000025"/>
        <n v="52482.160000000025"/>
        <n v="48482.160000000025"/>
        <n v="41482.160000000025"/>
        <n v="26482.160000000025"/>
        <n v="24382.160000000025"/>
        <n v="23882.160000000025"/>
        <n v="21882.160000000025"/>
        <n v="20985.720000000027"/>
      </sharedItems>
    </cacheField>
    <cacheField name="Difference" numFmtId="0">
      <sharedItems containsSemiMixedTypes="0" containsString="0" containsNumber="1">
        <n v="0.0"/>
        <n v="-5.002220859751105E-12"/>
        <n v="-3.183231456205249E-12"/>
        <n v="-1.8189894035458565E-11"/>
        <n v="-1.7280399333685637E-11"/>
        <n v="-1.750777300912887E-11"/>
        <n v="-1.737276988933445E-11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6" sheet="Aug"/>
  </cacheSource>
  <cacheFields>
    <cacheField name="Date" numFmtId="14">
      <sharedItems containsSemiMixedTypes="0" containsDate="1" containsString="0">
        <d v="2025-08-01T00:00:00Z"/>
        <d v="2025-08-02T00:00:00Z"/>
        <d v="2025-08-03T00:00:00Z"/>
        <d v="2025-08-04T00:00:00Z"/>
        <d v="2025-08-05T00:00:00Z"/>
        <d v="2025-08-06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6T00:00:00Z"/>
        <d v="2025-08-27T00:00:00Z"/>
        <d v="2025-08-29T00:00:00Z"/>
        <d v="2025-08-30T00:00:00Z"/>
      </sharedItems>
    </cacheField>
    <cacheField name="Narration" numFmtId="0">
      <sharedItems>
        <s v="UPI-REKHAA ORGANICS-PAYTM.D86865186@PTA-UTIB0000022-109032412103-UPI"/>
        <s v="UPI-SRI SUDALAIMADASAMY -PAYTMQR61BQ73@PTYS-YESB0PTMUPI-109055651060-UPI"/>
        <s v="UPI-GOOGLE INDIA SERVICE-GPAYRECHARGE@ICICI-ICIC0DC0099-109055675386-UPI"/>
        <s v="UPI-AZHAGURAJA N-51AZHGURAJA@OKICICI-CNRB0000033-109071614091-UPI"/>
        <s v="IMPS-521322289384-ARYU ENTERPRISES PRIVATE LIMITED-INDB-XXXXXXXX5106-P2AMOB"/>
        <s v="MULTIPLE-SALARY-JULY-YUVA-SAL.TXT"/>
        <s v="UPI-SURESH KUMAR V-SURESHDS2513@OKAXIS-TMBL0000370-109112066554-UPI"/>
        <s v="BHDFPK00S5L1XP/BILLDKPLAYSTOREGOOGL"/>
        <s v="UPI-ROHITH R SHERWIN-SHERWINROHITH-1@OKSBI-SBIN0070016-109164457885-ADVANCE"/>
        <s v="FARIDA SHOES P-ARYU ENTERPRISES"/>
        <s v="UPI-MR IYYAPPAN A-IYYAPPANMECH678@OKSBI-IDIB000A088-109239237598-CAKE"/>
        <s v="UPI-MURUGAN M-MUNIAPPANMUNIAPPAN297-1@OKSBI-PUNB0792400-109239365423-TEA PAYMENT"/>
        <s v="UPI-HARITHA R -RADHAKRISHNANHARITHA08-2@OKHDFCBANK-TMBL0000123-109239390030-A4 PAPER"/>
        <s v="UPI-GOOGLE INDIA SERVICE-GPAYRECHARGE@ICICI-ICIC0DC0099-109239505612-UPI"/>
        <s v="MULTIPLE-SALARY-ARUNA-JULY-SAL.TXT"/>
        <s v="NEFT DR-IDIB000A132-CAROLINE JOSHVA-NETBANK, MUM-HDFCN52025080594817033-RENT MAINTENANCE"/>
        <s v="NEFT DR-KKBK0000468-ARYU ACADEMY-NETBANK, MUM-HDFCN52025080594848047-RENT MAINTENANCE"/>
        <s v="UPI-XXXXXXXXXXX9053-UTIB0000016-109335230765-ARYU SYSTEM RENT"/>
        <s v="UPI-KISHORE KUMAR  S-9944513575@PTSBI-SBIN0012780-109344155343-PETROL"/>
        <s v="UPI-HOSTINGER PTE LTD-HOSTINGERPTELTD184.RZP@ICICI-ICIC0DC0099-109346924576-PAYMENTTOHOSTINGER"/>
        <s v="UPI-T YUVARAJ-YUVA.TANYA@OKHDFCBANK-HDFC0003760-109555822916-UPI"/>
        <s v="UPI-T YUVARAJ-YUVA.TANYA@OKHDFCBANK-HDFC0003760-109573968761-SHOOT LUNCH"/>
        <s v="NEFT CR-INDB0000006-UPWORK ESCROW INC-YUVARAJ T-INDBN52025081106308351"/>
        <s v="UPI-SWIGGY LIMITED-SWIGGYINSTAMART1ONLINE.GPAY@OKPAYAXIS-UTIB0000553-109628351204-UPI"/>
        <s v="UPI-HOSTINGER PTE LTD-HOSTINGERPTELTD.RZP@ICICI-ICIC0DC0099-522311921730-PAY VIA RAZORPAY"/>
        <s v="UPI-G  VIGNESH-VICKYVIGNESH.17.08.99-2@OKSBI-SBIN0001444-109668301720-UPI"/>
        <s v="MULTIPLE-SALARY-EMP1-JULY-SAL.TXT"/>
        <s v="UPI-ABDUL RAHMAN M-ABDULAR025@OKICICI-CNRB0000033-109674628935-UPI"/>
        <s v="UPI-BHARATHWAJ S-BHARATHWAJB599-1@OKHDFCBANK-HDFC0001254-109674656229-UPI"/>
        <s v="UPI-ROHITH R SHERWIN-SHERWINROHITH-1@OKSBI-SBIN0070016-109680998182-JULY MONTH STIPEND"/>
        <s v="UPI-K SASI  KUMAR-KSASI5319-1@OKSBI-SBIN0000956-109685935628-UPI"/>
        <s v="UPI-T YUVARAJ-YUVA.TANYA@OKHDFCBANK-HDFC0003760-109723473012-UPI"/>
        <s v="UPI-GOOGLE INDIA DIGITAL-GPAYRECHARGE@OKPAYAXIS-UTIB0000553-109784735862-UPI"/>
        <s v="NEFT CR-KKBK0000958-OCCD PRIVATE LIMITED-ARYU ENTERPRISES PRIVATE LIMITED-KKBKN62025081403506882"/>
        <s v="UPI-EZHILARASU S-EZHILKING189@OKSBI-CNRB0000033-109807045756-JULY MONTH STIPEND"/>
        <s v="UPI-MS KALAISELVI  K-KANNANSELVI130@OKHDFCBANK-CIUB0000467-109807096644-JULY MONTH STIPEND"/>
        <s v="UPI-MANIKANDAN  S-MANIKANDANLIFESCIENCE@OKSBI-SBIN0005379-522653840883-MOHAMED ALI  IT RE"/>
        <s v="UPI-CBDT-CBDT.PAYU@HDFCBANK-HDFC0MERUPI-109811501642-UPIINTENT"/>
        <s v="UPI-MANIKANDAN  S-MANIKANDANLIFESCIENCE@OKSBI-SBIN0005379-522657258677-ALI RETURNS CHARGE"/>
        <s v="UPI-MANIKANDAN  S-MANIKANDANLIFESCIENCE@OKSBI-SBIN0005379-522657284799-MAM RETURNS CHARGE"/>
        <s v="UPI-ARUNKUMAR S-LORDCHOKANATHA@OKSBI-SIBL0000796-109813741740-JULY MONTH STIPEND"/>
        <s v="UPI-T YUVARAJ-YUVA.TANYA@OKHDFCBANK-HDFC0003760-109861888169-UPI"/>
        <s v="IMPS-522719125827-ARYU ENTERPRISES PRIVATE LIMITED-INDB-XXXXXXXX5106-P2AMOB"/>
        <s v="UPI-HEYRAM M-HEYRAM334@OKHDFCBANK-KVBL0001278-109865754688-JULY MONTH SALARY"/>
        <s v="UPI-VENU D-DVENU6383@OKHDFCBANK-BKID0008260-109865819802-JULY MONTH SALARY"/>
        <s v="UPI-MR BARATH K-PAZHAYASORU101-2@OKHDFCBANK-IDIB000K087-109865901504-JULY MONTH SALARY"/>
        <s v="UPI-RAGUL  B-EUGINRAHUL@OKSBI-SBIN0000975-109865986617-UPI"/>
        <s v="UPI-MR IYYAPPAN A-IYYAPPANMECH678@OKSBI-IDIB000A088-109866049492-JULY MONTH STIPEND"/>
        <s v="UPI-GOOGLE INDIA DIGITAL-GPAY-TV-INTERNET@OKPAYAXIS-UTIB0000553-109866506658-UPI"/>
        <s v="MULTIPLE-SALARY-JUL-EMP-SAL.TXT"/>
        <s v="UPI-ATRIA CONVERGENCE TE-ACTCORP1.PAYU@HDFCBANK-HDFC0MERUPI-101215602820-UPI TRANSACTION"/>
        <s v="UPI-MRS BHUVANESWARI PAT-BHUVANA27601@OKSBI-IDIB000M132-109869883019-JULY MONTH STIPEND"/>
        <s v="UPI-THILIPAN T-THILIP707-1@OKHDFCBANK-HDFC0003883-109869970232-JULY MONTH AWS WOR"/>
        <s v="BHREHKB0TEKE73/EPFO"/>
        <s v="UPI-T YUVARAJ-YUVA.TANYA@OKHDFCBANK-HDFC0003760-109881490513-KUTRALAM"/>
        <s v="UPI-T YUVARAJ-YUVA.TANYA@OKHDFCBANK-HDFC0003760-109893294083-KUTTRALAM"/>
        <s v="NEFT CR-INDB0000006-UPWORK ESCROW INC-ARUNA V-INDBN52025081607022855"/>
        <s v="UPI-ANKY AI-ANKYAI548264.RZP@RXAIRTEL-AIRP0000011-109895872663-ANKYAIORDER70715"/>
        <s v="UPI-MURUGAN M-MUNIAPPANMUNIAPPAN297-1@OKSBI-PUNB0792400-109898023528-TEA PAYMENT"/>
        <s v="NEFT CR-INDB0000006-UPWORK ESCROW INC-YUVARAJ T-INDBN52025081607031888"/>
        <s v="UPI-TANGEDCO-TANGEDCO@INDIANBK-IDIB000A089-109965993215-TANGEDCO PORTAL QR"/>
        <s v="UPI-AIRTEL PAYMENTS BANK-AIRTELPAYMENTSBANKLIMI-8027499.PAYU@INDUS-INDB0MERCHA-100177330336-UPI TRANSACTION"/>
        <s v="UPI-GOOGLE INDIA SERVICE-GPAYRECHARGE@ICICI-ICIC0DC0099-109979837139-UPI"/>
        <s v="UPI-T YUVARAJ-YUVA.TANYA@OKHDFCBANK-HDFC0003760-109996751334-UPI"/>
        <s v="NEFT CR-INDB0000006-UPWORK ESCROW INC-ARUNA V-INDBN52025081907327250"/>
        <s v="UPI-MR BARATH K-PAZHAYASORU101-2@OKHDFCBANK-IDIB000K087-110037390394-ADVANCE"/>
        <s v="UPI-GOODS AND SERVICES T-GOODSANDSERVICESTAXN.76088835@HDFCBANK-HDFC0MERUPI-101251113425-GSTN"/>
        <s v="UPI-T YUVARAJ-YUVA.TANYA@OKHDFCBANK-HDFC0003760-110117670126-UPI"/>
        <s v="UPI-SURESH KUMAR V-SURESHDS2513@OKAXIS-TMBL0000370-110164388985-UPI"/>
        <s v="NEFT CR-INDB0000006-UPWORK ESCROW INC-ARUNA V-INDBN52025082207791576"/>
        <s v="NEFT CR-INDB0000006-UPWORK ESCROW INC-YUVARAJ T-INDBN52025082207791558"/>
        <s v="UPI-SURESH KUMAR V-SURESHDS2513@OKAXIS-TMBL0000370-110180777148-UPI"/>
        <s v="UPI-HOSTINGER PTE LTD-HOSTINGERPTELTD.RZP@ICICI-ICIC0DC0099-523469771529-PAY VIA RAZORPAY"/>
        <s v="UPI-T YUVARAJ-YUVA.TANYA@OKHDFCBANK-HDFC0003760-110209945637-UPI"/>
        <s v="UPI-T YUVARAJ-YUVA.TANYA@OKHDFCBANK-HDFC0003760-110240873082-UPI"/>
        <s v="UPI-T YUVARAJ-YUVA.TANYA@OKHDFCBANK-HDFC0003760-110279476437-UPI"/>
        <s v="UPI-VENU D-DVENU6383@OKHDFCBANK-BKID0008260-110279502656-AMBUR TRAVEL EXPEN"/>
        <s v="IMPS-523814365023-ARUNA V-HDFC-XXXXXXXXXX6479-MEDICS RESEARCH PMTOOL FINAL PAYMENT"/>
        <s v="UPI-VENU D-DVENU6383@OKHDFCBANK-BKID0008260-110362187187-UPI"/>
        <s v="UPI-CBDT-CBDT.PAYU@HDFCBANK-HDFC0MERUPI-101297405210-UPI TRANSACTION"/>
        <s v="UPI-SURESH KUMAR V-SURESHDS2513@OKAXIS-TMBL0000370-110381398588-UPI"/>
        <s v="UPI-REKHAA ORGANICS-PAYTM.D86865186@PTA-UTIB0000022-110385481816-GANESH POOJA"/>
        <s v="UPI-THAMEEM ANSARI-GPAY-11258545858@OKBIZAXIS-UTIB0000553-110385982762-UPI"/>
        <s v="UPI-RSK SEA FOODS-GPAY-11259832262@OKBIZAXIS-UTIB0000553-110386012833-UPI"/>
        <s v="UPI-VENKATESAN FLOWER SH-GPAY-11265632910@OKBIZAXIS-UTIB0000553-110386147750-UPI"/>
        <s v="UPI-VENKATESAN  N-Q792185665@YBL-YESB0YBLUPI-110386190799-UPI"/>
        <s v="UPI-INFO EDGE INDIA LIMI-NAUKRI.QR8.PAYU@INDUS-INDB0MERCHA-110396836025-UPI"/>
        <s v="UPI-GOOGLE INDIA SERVICE-GPAYRECHARGE@ICICI-ICIC0DC0099-110401092113-UPI"/>
        <s v="UPI-RAHUL  R-RAHUL.RAJIV2001-1@OKSBI-SBIN0012877-110405420542-INCENTIVE FROM ARY"/>
        <s v="IMPS-523918145366-YUVARAJ T-HDFC-XXXXXXXXXX5241-OD RETURN"/>
        <s v="UPI-INFO EDGE INDIA LIMI-NAUKRI.QR8.PAYU@INDUS-INDB0MERCHA-110478126675-DIGITAL MARKETING"/>
        <s v="UPI-GOOGLE INDIA SERVICE-GPAYRECHARGE@ICICI-ICIC0DC0099-110495047164-UPI"/>
        <s v="UPI-SBIMOPS-SBIMOPS@SBI-SBIN0016209-110498499642-MOPSUPITXN"/>
        <s v="UPI-MURUGAN M-MUNIAPPANMUNIAPPAN297-1@OKSBI-PUNB0792400-110504263235-TEA PAYMENT"/>
        <s v="UPI-MR IYYAPPAN A-IYYAPPANMECH678@OKSBI-IDIB000A088-110544314839-VIGNESH RELIEVING"/>
      </sharedItems>
    </cacheField>
    <cacheField name="Ledger" numFmtId="0">
      <sharedItems>
        <s v="Clearings"/>
        <s v="Telephone Expenditure"/>
        <s v="HDFC Bk Ac No - 50200064135746 from Indus Bk Ac No - 259994715106"/>
        <s v="Director Salary"/>
        <s v="Software Subscription"/>
        <s v="Stipend"/>
        <s v="sales"/>
        <s v="Employee Welfare Expenses"/>
        <s v="Administraion Expenses"/>
        <s v="Office Rent &amp; Maintenance"/>
        <s v="Equipment Rental Expenses"/>
        <s v="Travel &amp; Accomodation"/>
        <s v="Salary"/>
        <s v="contra"/>
        <s v="Internet Charges"/>
        <s v="Employee Provident Fund Expenses"/>
        <s v="Electricity Charges"/>
        <s v="Prepaid Asset (Current Assets)"/>
        <s v="self Assessment Tax"/>
        <s v="Office Expenses"/>
        <s v="Recruiting Expenses"/>
        <s v="Incentive"/>
        <s v="Secured Loan"/>
      </sharedItems>
    </cacheField>
    <cacheField name="Reason" numFmtId="0">
      <sharedItems containsBlank="1">
        <m/>
        <s v="Mobile Recharge"/>
        <s v="Self Transfer"/>
        <s v="Yuvaraj"/>
        <s v="G-suit from Google office purpose"/>
        <s v="ROHITH R Advance"/>
        <s v="FARIDA Shoes Pvt Ltd"/>
        <s v="Cost of cake for employee birthday celebrations"/>
        <s v="Cost of refreshments (Tea and Snacks) for staff"/>
        <s v="stationery"/>
        <s v="Aruna"/>
        <s v="Rent for office -CAROLINE JOSHVA"/>
        <s v="Rent for office -Sherin"/>
        <s v="Rental expense for Office system"/>
        <s v="Petrol &amp; Fuel"/>
        <s v="Hostinger"/>
        <s v="Cost of refreshments (Food) for staff"/>
        <s v="Upwork Yuvaraj"/>
        <s v="Multiple Employees"/>
        <s v="Abdhul Rahman"/>
        <s v="Bharathwaj S"/>
        <s v="Rohith R Sherwin"/>
        <s v="OCCD Pvt Ltd"/>
        <s v="Ezhilarasu S"/>
        <s v="Kaasni"/>
        <s v="contra"/>
        <s v="Heyram M"/>
        <s v="Venu D"/>
        <s v="Barath K"/>
        <s v="Ragul  B"/>
        <s v="Iyyappan A"/>
        <s v="Expense for internet connectivity - ACT"/>
        <s v="Bhuvaneswari Pat"/>
        <s v="Thilipan"/>
        <s v="ER&amp;EE  Contribution Apl-25 Month PF- ECR Retuns - For Directors &amp; Employees"/>
        <s v="Expense for internet connectivity - AIRTEL"/>
        <s v="EB Payment"/>
        <s v="Upwork Aruna"/>
        <s v="GST PAID for commercial purpose (ITC Claimed)"/>
        <s v="Ambur Stay and class"/>
        <s v="Medics Research Pmtool"/>
        <s v="For ITR - FY 2024-25"/>
        <s v="Ganesh Pooja"/>
        <s v="Recruitment Expenses on Naukri portal"/>
        <s v="Rahul R"/>
        <s v="Loan from Yuvaraj OD Account"/>
      </sharedItems>
    </cacheField>
    <cacheField name="Withdrawal Amt." numFmtId="0">
      <sharedItems containsString="0" containsBlank="1" containsNumber="1">
        <n v="572.0"/>
        <n v="500.0"/>
        <n v="300.9"/>
        <n v="50.0"/>
        <m/>
        <n v="90842.0"/>
        <n v="1852.21"/>
        <n v="1000.0"/>
        <n v="890.0"/>
        <n v="1620.0"/>
        <n v="220.0"/>
        <n v="77992.0"/>
        <n v="18875.0"/>
        <n v="4130.0"/>
        <n v="150.0"/>
        <n v="766.44"/>
        <n v="20000.0"/>
        <n v="242.0"/>
        <n v="8629.2"/>
        <n v="195.0"/>
        <n v="84523.0"/>
        <n v="7649.0"/>
        <n v="8358.0"/>
        <n v="3880.0"/>
        <n v="74.0"/>
        <n v="3000.0"/>
        <n v="6702.0"/>
        <n v="4000.0"/>
        <n v="19560.0"/>
        <n v="7000.0"/>
        <n v="8713.0"/>
        <n v="4895.0"/>
        <n v="9200.0"/>
        <n v="1712.72"/>
        <n v="31879.0"/>
        <n v="1650.82"/>
        <n v="4480.0"/>
        <n v="2400.0"/>
        <n v="30653.0"/>
        <n v="649.0"/>
        <n v="1350.0"/>
        <n v="24769.0"/>
        <n v="236.0"/>
        <n v="180.9"/>
        <n v="3800.0"/>
        <n v="2000.0"/>
        <n v="3308.0"/>
        <n v="600.0"/>
        <n v="1699.0"/>
        <n v="5500.0"/>
        <n v="1500.0"/>
        <n v="750.0"/>
        <n v="3200.0"/>
        <n v="320.0"/>
        <n v="70.0"/>
        <n v="60.0"/>
        <n v="1003.0"/>
        <n v="18000.0"/>
        <n v="870.0"/>
      </sharedItems>
    </cacheField>
    <cacheField name="Deposit Amt." numFmtId="0">
      <sharedItems containsString="0" containsBlank="1" containsNumber="1">
        <m/>
        <n v="129980.89"/>
        <n v="100000.0"/>
        <n v="107451.91"/>
        <n v="10620.0"/>
        <n v="19550.0"/>
        <n v="5000.0"/>
        <n v="2000.0"/>
        <n v="130283.0"/>
        <n v="7186.6"/>
        <n v="6318.95"/>
        <n v="7160.18"/>
        <n v="3547.33"/>
        <n v="6318.52"/>
        <n v="300.0"/>
        <n v="45000.0"/>
      </sharedItems>
    </cacheField>
    <cacheField name="Closing Balance" numFmtId="0">
      <sharedItems containsSemiMixedTypes="0" containsString="0" containsNumber="1">
        <n v="20413.72"/>
        <n v="19913.72"/>
        <n v="19612.82"/>
        <n v="19562.82"/>
        <n v="149543.71"/>
        <n v="58701.71"/>
        <n v="58201.71"/>
        <n v="56349.5"/>
        <n v="55349.5"/>
        <n v="155349.5"/>
        <n v="154459.5"/>
        <n v="152839.5"/>
        <n v="152619.5"/>
        <n v="152318.6"/>
        <n v="74326.6"/>
        <n v="55451.6"/>
        <n v="36576.6"/>
        <n v="32446.6"/>
        <n v="32296.6"/>
        <n v="31530.16"/>
        <n v="11530.16"/>
        <n v="11030.16"/>
        <n v="118482.07"/>
        <n v="118240.07"/>
        <n v="109610.87"/>
        <n v="109415.87"/>
        <n v="24892.87"/>
        <n v="17243.87"/>
        <n v="8885.87"/>
        <n v="5005.87"/>
        <n v="4931.87"/>
        <n v="1931.87"/>
        <n v="1630.97"/>
        <n v="12250.97"/>
        <n v="5548.97"/>
        <n v="1548.97"/>
        <n v="21098.97"/>
        <n v="1538.97"/>
        <n v="6538.97"/>
        <n v="8538.97"/>
        <n v="538.97"/>
        <n v="130821.97"/>
        <n v="122108.97"/>
        <n v="113395.97"/>
        <n v="108500.97"/>
        <n v="99300.97"/>
        <n v="92300.97"/>
        <n v="90588.25"/>
        <n v="58709.25"/>
        <n v="57058.43"/>
        <n v="52578.43"/>
        <n v="50178.43"/>
        <n v="19525.43"/>
        <n v="18525.43"/>
        <n v="17525.43"/>
        <n v="24712.03"/>
        <n v="24063.03"/>
        <n v="22713.03"/>
        <n v="29031.98"/>
        <n v="4262.98"/>
        <n v="4026.98"/>
        <n v="3846.08"/>
        <n v="46.08"/>
        <n v="7206.26"/>
        <n v="5206.26"/>
        <n v="1898.26"/>
        <n v="898.26"/>
        <n v="298.26"/>
        <n v="3845.59"/>
        <n v="10164.11"/>
        <n v="9164.11"/>
        <n v="7465.11"/>
        <n v="1965.11"/>
        <n v="465.11"/>
        <n v="765.11"/>
        <n v="15.11"/>
        <n v="45015.11"/>
        <n v="44515.11"/>
        <n v="41315.11"/>
        <n v="40815.11"/>
        <n v="40215.11"/>
        <n v="39895.11"/>
        <n v="39825.11"/>
        <n v="39675.11"/>
        <n v="39615.11"/>
        <n v="38612.11"/>
        <n v="38311.21"/>
        <n v="36311.21"/>
        <n v="18311.21"/>
        <n v="17308.21"/>
        <n v="17007.31"/>
        <n v="15507.31"/>
        <n v="14157.31"/>
        <n v="13287.31"/>
      </sharedItems>
    </cacheField>
    <cacheField name="closing balance2" numFmtId="0">
      <sharedItems containsSemiMixedTypes="0" containsString="0" containsNumber="1">
        <n v="20413.720000000027"/>
        <n v="19913.720000000027"/>
        <n v="19612.820000000025"/>
        <n v="19562.820000000025"/>
        <n v="149543.71000000002"/>
        <n v="58701.71000000002"/>
        <n v="58201.71000000002"/>
        <n v="56349.50000000002"/>
        <n v="55349.50000000002"/>
        <n v="155349.50000000003"/>
        <n v="154459.50000000003"/>
        <n v="152839.50000000003"/>
        <n v="152619.50000000003"/>
        <n v="152318.60000000003"/>
        <n v="74326.60000000003"/>
        <n v="55451.600000000035"/>
        <n v="36576.600000000035"/>
        <n v="32446.600000000035"/>
        <n v="32296.600000000035"/>
        <n v="31530.160000000036"/>
        <n v="11530.160000000036"/>
        <n v="11030.160000000036"/>
        <n v="118482.07000000004"/>
        <n v="118240.07000000004"/>
        <n v="109610.87000000004"/>
        <n v="109415.87000000004"/>
        <n v="24892.87000000004"/>
        <n v="17243.87000000004"/>
        <n v="8885.870000000039"/>
        <n v="5005.870000000039"/>
        <n v="4931.870000000039"/>
        <n v="1931.870000000039"/>
        <n v="1630.970000000039"/>
        <n v="12250.97000000004"/>
        <n v="5548.970000000039"/>
        <n v="1548.9700000000394"/>
        <n v="21098.970000000038"/>
        <n v="1538.9700000000375"/>
        <n v="6538.9700000000375"/>
        <n v="8538.970000000038"/>
        <n v="538.9700000000375"/>
        <n v="130821.97000000003"/>
        <n v="122108.97000000003"/>
        <n v="113395.97000000003"/>
        <n v="108500.97000000003"/>
        <n v="99300.97000000003"/>
        <n v="92300.97000000003"/>
        <n v="90588.25000000003"/>
        <n v="58709.25000000003"/>
        <n v="57058.43000000003"/>
        <n v="52578.43000000003"/>
        <n v="50178.43000000003"/>
        <n v="19525.43000000003"/>
        <n v="18525.43000000003"/>
        <n v="17525.43000000003"/>
        <n v="24712.030000000028"/>
        <n v="24063.030000000028"/>
        <n v="22713.030000000028"/>
        <n v="29031.98000000003"/>
        <n v="4262.980000000029"/>
        <n v="4026.9800000000287"/>
        <n v="3846.0800000000286"/>
        <n v="46.080000000028576"/>
        <n v="7206.260000000029"/>
        <n v="5206.260000000029"/>
        <n v="1898.2600000000293"/>
        <n v="898.2600000000293"/>
        <n v="298.2600000000293"/>
        <n v="3845.5900000000292"/>
        <n v="10164.11000000003"/>
        <n v="9164.11000000003"/>
        <n v="7465.11000000003"/>
        <n v="1965.1100000000297"/>
        <n v="465.1100000000297"/>
        <n v="765.1100000000297"/>
        <n v="15.110000000029686"/>
        <n v="45015.11000000003"/>
        <n v="44515.11000000003"/>
        <n v="41315.11000000003"/>
        <n v="40815.11000000003"/>
        <n v="40215.11000000003"/>
        <n v="39895.11000000003"/>
        <n v="39825.11000000003"/>
        <n v="39675.11000000003"/>
        <n v="39615.11000000003"/>
        <n v="38612.11000000003"/>
        <n v="38311.21000000003"/>
        <n v="36311.21000000003"/>
        <n v="18311.21000000003"/>
        <n v="17308.21000000003"/>
        <n v="17007.310000000027"/>
        <n v="15507.310000000027"/>
        <n v="14157.310000000027"/>
        <n v="13287.310000000027"/>
      </sharedItems>
    </cacheField>
    <cacheField name="Difference" numFmtId="0">
      <sharedItems containsSemiMixedTypes="0" containsString="0" containsNumber="1">
        <n v="0.0"/>
        <n v="-3.637978807091713E-11"/>
        <n v="-4.001776687800884E-11"/>
        <n v="-3.8198777474462986E-11"/>
        <n v="-3.9108272176235914E-11"/>
        <n v="-3.888089850079268E-11"/>
        <n v="-3.9335645851679146E-11"/>
        <n v="-3.751665644813329E-11"/>
        <n v="-3.728928277269006E-11"/>
        <n v="-2.9103830456733704E-11"/>
        <n v="-2.864908310584724E-11"/>
        <n v="-2.857802883227123E-11"/>
        <n v="-2.9331204132176936E-11"/>
        <n v="-3.001332515850663E-11"/>
        <n v="-2.97859514830634E-11"/>
        <n v="-2.9672264645341784E-11"/>
        <n v="-2.9686475500056986E-11"/>
        <n v="-2.7284841053187847E-11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6" sheet="Sep"/>
  </cacheSource>
  <cacheFields>
    <cacheField name="Date" numFmtId="14">
      <sharedItems containsSemiMixedTypes="0" containsDate="1" containsString="0">
        <d v="2025-09-01T00:00:00Z"/>
        <d v="2025-09-02T00:00:00Z"/>
        <d v="2025-09-03T00:00:00Z"/>
        <d v="2025-09-04T00:00:00Z"/>
        <d v="2025-09-06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</sharedItems>
    </cacheField>
    <cacheField name="Narration" numFmtId="0">
      <sharedItems>
        <s v="UPI-GOOGLE PLAY-PLAYSTORE@AXISBANK-UTIB0000553-215633732445-MANDATEEXECUTE"/>
        <s v="UPI-GOOGLE PAY-GOOGLEPAY@AXISBANK-UTIB0000004-215690612445-UPI"/>
        <s v="UPI-BALACHANDAR JEGADEES-MATHEWBALA0010-1@OKHDFCBANK-HDFC0001297-110631325357-UPI"/>
        <s v="UPI-T YUVARAJ-YUVA.TANYA@OKHDFCBANK-HDFC0003760-110657632874-UPI"/>
        <s v="UPI-CAKE WAVES  ARUMBAKK-Q05017268@YBL-YESB0YBLUPI-110666108484-UPI"/>
        <s v="UPI-SHIVA SHANKAR P-SHIVASHANKAR.PAULRAJ-3@OKAXIS-UTIB0000866-110683877649-UPI"/>
        <s v="UPI-T YUVARAJ-YUVA.TANYA@OKHDFCBANK-HDFC0003760-110690611402-UPI"/>
        <s v="NEFT CR-INDB0000006-ARYU ENTERPRISES PRIVATE LIMITED-ARYU ENTERPRISES-INDBN52025090309376117"/>
        <s v="MULTIPLE-SALARY-DIR-AUG-SAL.TXT"/>
        <s v="UPI-SARANRAJ MUTHUSAMY S-ITSSARANRAAJ-2@OKSBI-FDRL0001657-110760235531-EB BILL"/>
        <s v="UPI-GOOGLE INDIA DIGITAL-GPAYRECHARGE@OKPAYAXIS-UTIB0000553-110761528095-UPI"/>
        <s v="UPI-SRI SUDALAI MADASWAM-PAYTM.S1L8D2L@PTY-YESB0MCHUPI-110789621063-PETROL ALLOWANCE"/>
        <s v="UPI-MR IYYAPPAN A-IYYAPPANMECH678@OKSBI-IDIB000A088-110872258010-CAKE JOHN"/>
        <s v="UPI-T YUVARAJ-YUVA.TANYA@OKHDFCBANK-HDFC0003760-111006862809-CLIENT LUNCH"/>
        <s v="NEFT CR-INDB0000006-UPWORK ESCROW INC-ARUNA V-INDBN52025090900231744"/>
        <s v="UPI-STATIONERY PARK-PAYTMQR64CK8A@PTYS-YESB0PTMUPI-111020090139-STATIONERY"/>
        <s v="UPI-T YUVARAJ-YUVA.TANYA@OKHDFCBANK-HDFC0003760-111028712135-UPI"/>
        <s v="UPI-VANITHA S  -SVANITHA764@OKSBI-SBIN0011604-111043803805-STATIONERY"/>
        <s v="BHDF2PG0VSEP5Y/BILLDKPLAYSTOREGOOGL"/>
        <s v="UPI-KISHOREKUMAR SUNDARA-9944513575@PTSBI-FDRL0007777-111052155658-AVINSAA CLIENT GIF"/>
        <s v="UPI-ISHWARIYA SWEETS AND-PAYTMQR281005050101FE7OEZ8GU53B@PAYTM-YESB0PTMUPI-111059379058-UPI"/>
        <s v="UPI-T YUVARAJ-YUVA.TANYA@OKHDFCBANK-HDFC0003760-111061394099-UPI"/>
        <s v="NEFT CR-INDB0000006-UPWORK ESCROW INC-YUVARAJ T-INDBN52025091000429407"/>
        <s v="MULTIPLE-SALARY-HARITHA.TXT"/>
        <s v="NEFT DR-IDIB000A132-CAROLINE JOSHVA-NETBANK, MUM-HDFCN52025091066744041-RENT MAINTENANCE"/>
        <s v="UPI-T YUVARAJ-YUVA.TANYA@OKHDFCBANK-HDFC0003760-111079082818-HOUSE EXPENSE"/>
        <s v="UPI-T YUVARAJ-9994715106@YESCRED-HDFC0003760-111089217807-UPI"/>
        <s v="UPI-MUNIAPPAN M-MUNIAPPANMUNIAPPAN297@OKSBI-CNRB0000033-111090715429-UPI"/>
        <s v="IMPS-525410144748-ARYU ACADEMY-KKBK-XXXXXX5749-RENT MAINTENANCE"/>
        <s v="UPI-GOOGLE INDIA SERVICE-GPAYRECHARGE@ICICI-ICIC0DC0099-111097163751-UPI"/>
        <s v="50200056146700-TPT-AC REPAIR CHARGES-SMART COOL HOME"/>
        <s v="IMPS-525513916332-T YUVARAJ-HDFC-XXXXXXXXXX5241-LOAN FROM DIRECTOR"/>
        <s v="05125136386240/ESIC"/>
        <s v="UPI-CBDT-CBDT.PAYU@HDFCBANK-HDFC0MERUPI-101454628896-UPI TRANSACTION"/>
        <s v="BHREGBL0W3LIH5/EPFO"/>
        <s v="NEFT DR-UTIB0000016-STAR ENGINEERING-NETBANK, MUM-HDFCN52025091372657431-SYSTEM RENT"/>
        <s v="UPI-P RABIYA BANU-RABIYABANU06@OKAXIS-IBKL0000708-525636804646-UPI"/>
        <s v="UPI-MR MANJUNATHAN S-MANJUNATHANMANJU6619-1@OKICICI-IDIB000A132-111236745679-UPI"/>
        <s v="UPI-ZEPTO MARKETPLACE PR-ZEPTO.PAYU@AXISBANK-UTIB0000100-111245870482-UPI"/>
        <s v="UPI-JANANI D-JANUD181099-1@OKICICI-CNRB0000033-111247277806-UPI"/>
        <s v="UPI-CSK CHICKEN SHAWARMA-VYAPAR.172193602573@HDFCBANK-HDFC0MERUPI-111257672554-FOOD"/>
        <s v="NEFT DR-PUNB0010400-STORYRISE-NETBANK, MUM-HDFCN52025091574183309-EDITING 11 VIDEOS"/>
        <s v="UPI-ATRIA CONVERGENCE TE-ACTCORP1.PAYU@HDFCBANK-HDFC0MERUPI-111279218221-UPIINTENT"/>
        <s v="UPI-GOOGLE INDIA DIGITAL-GPAY-TV-INTERNET@OKPAYAXIS-UTIB0000553-111279267474-UPI"/>
        <s v="UPI-BALACHANDAR J-MATHEWBALA0010@OKICICI-IOBA0000157-111289589648-HOUSE KEEPING"/>
        <s v="UPI-ARUNKUMAR S-LORDCHOKANATHA@OKSBI-SIBL0000796-111297523696-UPI"/>
        <s v="IMPS-525909731763-ARYU ENTERPRISES PRIVATE LIMITED-INDB-XXXXXXXX5106-P2AMOB"/>
        <s v="UPI-GOOGLE INDIA SERVICE-GPAYRECHARGE@ICICI-ICIC0DC0099-111320860796-UPI"/>
        <s v="UPI-ABDUL RAHMAN M-ABDULAR025@OKICICI-CNRB0000033-111325558435-AUGUST MONTH SALAR"/>
        <s v="UPI-BHARATHWAJ S-BHARATHWAJB599-1@OKHDFCBANK-HDFC0001254-111325582508-AUGUST MONTH SALAR"/>
        <s v="UPI-MR IYYAPPAN A-IYYAPPANMECH678@OKSBI-IDIB000A088-111325622627-AUGUST MONTH SALAR"/>
        <s v="UPI-ARUNKUMAR S-LORDCHOKANATHA@OKSBI-SIBL0000796-111325655850-AUGUST MONTH STIPE"/>
        <s v="UPI-MR KOMADURAI P-KOMADURAI2002@OKHDFCBANK-IDIB000A088-111325940525-AUGUST MONTH STIPE"/>
        <s v="UPI-SUBA SHREE S-SUBASHREE.S1904@OKAXIS-IOBA0001348-111325986514-AUGUST MONTH STIPE"/>
        <s v="UPI-MR GOKULNATH M-NGOKUL851-3@OKAXIS-IDIB000P169-111326038908-AUGUST MONTH STIPE"/>
        <s v="UPI-JAISRI S-JAISRISUBRAMANIAN99-1@OKICICI-ICIC0002408-111326169141-AUGUST STIPEND FRO"/>
        <s v="UPI-EZHILARASU S-EZHILKING189@OKSBI-CNRB0000033-111326881270-AUGUST MONTH STIPE"/>
        <s v="MULTIPLE-SALARY-AUGU-KANI.TXT"/>
        <s v="UPI-MRS BHUVANESWARI PAT-BHUVANA27601@OKSBI-IDIB000M132-111327755488-AUGUST MONTH STIPE"/>
        <s v="FARIDA SHOES P-ARYU ENTERPRISES"/>
        <s v="MULTIPLE-SALARY-AUG-EMP.TXT"/>
        <s v="UPI-HEYRAM M-HEYRAM334@OKHDFCBANK-KVBL0001278-111339183995-AUGUST MONTH SALAR"/>
        <s v="UPI-RAGUL  B-EUGINRAHUL@OKSBI-SBIN0000975-111339838984-AUGUST MONTB STIPE"/>
        <s v="UPI-K ROJA-8520956775@YBL-HDFC0000261-111339966120-AUGUST MONTH STIPE"/>
        <s v="UPI-MR BARATH K-PAZHAYASORU101-2@OKHDFCBANK-IDIB000K087-111342151476-AUGUST MONTH SALAR"/>
        <s v="ATW-403875XXXXXX5052-COTNU025-CHENNAI"/>
        <s v="ATW-403875XXXXXX5052-S1ACCN65-CHENNAI"/>
        <s v="UPI-SURESH KUMAR V-SURESHDS2513@OKAXIS-TMBL0000370-111356035010-UPI"/>
        <s v="UPI-KISHOREKUMAR SUNDARA-9944513575@PTSBI-UTIB0002146-111409402478-PENDING SALARY FOR"/>
        <s v="UPI-RAMBHARATH JEYAPANDI-RAMBHARATH123@YBL-HDFC0001277-111410509243-BATTER"/>
        <s v="UPI-MS KALAISELVI  K-KANNANSELVI130@OKHDFCBANK-CIUB0000467-111414418748-AUGUST MONTH STIPE"/>
        <s v="UPI-ANKYAI-ANKY.AI@IDFCBANK-IDFB0040197-111425661273-UPI"/>
        <s v="UPI-MR IYYAPPAN A-IYYAPPANMECH678@OKSBI-IDIB000A088-111428158943-CAKE"/>
        <s v="UPI-INAAMULHASAN-AMIZU8495@OKSBI-KVBL0001257-111456517192-LAPTOP RAM AND HAR"/>
        <s v="UPI-KISHOREKUMAR SUNDARA-9944513575@PTSBI-UTIB0002146-111474429896-ACADEMY SHOOT"/>
        <s v="UPI-ZEPTO MARKETPLACE-ZEPTONOW-2.BDPG@HDFCBANK-HDFC0MERUPI-111506535171-UPI"/>
        <s v="UPI-GOODS AND SERVICES T-GOODSANDSERVICESTAXN.76088835@HDFCBANK-HDFC0MERUPI-101503878482-GSTN"/>
        <s v="NEFT CR-INDB0000006-UPWORK ESCROW INC-YUVARAJ T-INDBN52025092201961183"/>
        <s v="50200075882112-TPT-ESI REGISTRATIONS-SVARGA MANAGEMENT SER PVT LTD"/>
        <s v="UPI-SATHISHKUMAR-SATHISHKUMARFIVESTAR5@OKSBI-BARB0VJASHO-111614492437-AUTO"/>
        <s v="UPI-T YUVARAJ-9994715106@YESCRED-HDFC0003760-111634498040-LIC"/>
        <s v="UPI-GOOGLE PLAY-PLAYSTORE@AXISBANK-UTIB0000553-689656142665-MANDATEEXECUTE"/>
        <s v="UPI-MSAMARA STORES PRIVA-IBKPOS.EP035361@ICICI-ICIC0000004-111668746362-OFFICE ITEMS"/>
        <s v="MULTIPLE-SALARY-VENU-SAL.TXT"/>
        <s v="UPI-GOOGLE INDIA DIGITAL-GPAYRECHARGE@OKPAYAXIS-UTIB0000553-111734259063-UPI"/>
        <s v="UPI-MR IYYAPPAN A-IYYAPPANMECH678@OKSBI-IDIB000A088-111749171468-BALA CAKE"/>
        <s v="50200082960980-TPT-DSC FEES DIRECTORS-LEXICON TAX SOLUTIONS"/>
        <s v="UPI-T YUVARAJ-9994715106@YESCRED-HDFC0003760-111769603800-LID"/>
        <s v="UPI-KISHOREKUMAR SUNDARA-KISHORE-8@PTAXIS-UTIB0002146-526969119920-SENT USING PAYTM U"/>
        <s v="NEFT CR-INDB0000006-UPWORK ESCROW INC-YUVARAJ T-INDBN52025092602537951"/>
        <s v="UPI-T YUVARAJ-9994715106@YESCRED-HDFC0003760-111816355696-UPI"/>
        <s v=".IMPS P2P 525410144748#11/09/2025 110925-MIR2626809403170"/>
      </sharedItems>
    </cacheField>
    <cacheField name="Ledger" numFmtId="0">
      <sharedItems>
        <s v="contra"/>
        <s v="Postage &amp; Courier"/>
        <s v="Clearings"/>
        <s v="Employee Welfare Expenses"/>
        <s v="HDFC Bk Ac No - 50200064135746 from Indus Bk Ac No - 259994715106"/>
        <s v="Salary"/>
        <s v="Telephone Expenditure"/>
        <s v="Travel &amp; Accomodation"/>
        <s v="Sales"/>
        <s v="Administraion Expenses"/>
        <s v="Software Subscription"/>
        <s v="Office Rent &amp; Maintenance"/>
        <s v="Drawings"/>
        <s v="Repairs &amp; Maintenance"/>
        <s v="Secured Loan"/>
        <s v="Employee State Insurance Scheme"/>
        <s v="Prepaid Asset (Current Assets)"/>
        <s v="Employee Provident Fund Expenses"/>
        <s v="Equipment Rental Expenses"/>
        <s v="Marketing and Advertisement Expenditure"/>
        <s v="Internet Charges"/>
        <s v="Office Expenses"/>
        <s v="Stipend"/>
        <s v="Cash"/>
        <s v="Asset Purchase"/>
        <s v="Audit Fees"/>
        <s v="Suspense Income"/>
        <s v="Bank Charges"/>
      </sharedItems>
    </cacheField>
    <cacheField name="Reason" numFmtId="0">
      <sharedItems containsBlank="1">
        <s v="contra"/>
        <s v="Zepto for gettings DSC"/>
        <m/>
        <s v="Cost of cake for employee birthday celebrations"/>
        <s v="Self Transfer"/>
        <s v="Multiple Employees"/>
        <s v="Mobile Recharge"/>
        <s v="Petrol &amp; Fuel"/>
        <s v="Client Lunch"/>
        <s v="Upwork Aruna"/>
        <s v="stationery"/>
        <s v="G-suit from Google office purpose"/>
        <s v="Cost of refreshments (Sweets) for staff"/>
        <s v="Upwork Yuvaraj"/>
        <s v="Rent for office -CAROLINE JOSHVA"/>
        <s v="Personal Purpose"/>
        <s v="Cost of refreshments (Tea and Snacks) for staff"/>
        <s v="Rent for office -Sherin"/>
        <s v="AC service and repair work"/>
        <s v="Loan from Yuvaraj OD Account"/>
        <s v="ER&amp;EE  Contribution Aug-25 Month ESI- Retuns"/>
        <s v="Advance tax paid for 2Q"/>
        <s v="ER&amp;EE  Contribution Aug-25 Month PF- ECR Retuns - For Directors &amp; Employees"/>
        <s v="Rental expense for Office system"/>
        <s v="HRMS Tool"/>
        <s v="Zepto for gettings office Things"/>
        <s v="Cost of refreshments (Food) for staff"/>
        <s v="Shoot expenses associated with creating promotional content"/>
        <s v="Expense for internet connectivity - ACT"/>
        <s v="Office Cleaning Maintenance"/>
        <s v="Iyyappan A"/>
        <s v="Arunkumar Ramesh"/>
        <s v="Komadhurai"/>
        <s v="Subashree"/>
        <s v="GokulNath"/>
        <s v="Jaisri S"/>
        <s v="Ezhilarasu S"/>
        <s v="Bhuvaneswari Pat"/>
        <s v="FARIDA Shoes Pvt Ltd"/>
        <s v="Ragul  B"/>
        <s v="Roja"/>
        <s v="Cash Withdrawl"/>
        <s v="Kishore Kumar"/>
        <s v="Rambharath"/>
        <s v="Kaasni"/>
        <s v="Computer &amp; Peripherals (Ram Updated)"/>
        <s v="GST PAID for commercial purpose (ITC Claimed)"/>
        <s v="ESI Registration Svarga Management Service Pvt Ltd"/>
        <s v="Auto"/>
        <s v="DSC for Lexicon Tax Solutions"/>
        <s v="Miscellaneous Income"/>
        <s v="Bank Charges"/>
      </sharedItems>
    </cacheField>
    <cacheField name="Withdrawal Amt." numFmtId="0">
      <sharedItems containsString="0" containsBlank="1" containsNumber="1">
        <n v="2.0"/>
        <m/>
        <n v="89.0"/>
        <n v="2500.0"/>
        <n v="1000.0"/>
        <n v="650.0"/>
        <n v="135114.0"/>
        <n v="300.9"/>
        <n v="499.91"/>
        <n v="770.0"/>
        <n v="1700.0"/>
        <n v="1195.0"/>
        <n v="1500.0"/>
        <n v="300.0"/>
        <n v="1917.5"/>
        <n v="250.0"/>
        <n v="265.0"/>
        <n v="500.0"/>
        <n v="13497.0"/>
        <n v="18875.0"/>
        <n v="8000.0"/>
        <n v="1358.0"/>
        <n v="320.9"/>
        <n v="27544.0"/>
        <n v="4727.0"/>
        <n v="10000.0"/>
        <n v="28974.0"/>
        <n v="4130.0"/>
        <n v="50.0"/>
        <n v="652.0"/>
        <n v="150.0"/>
        <n v="320.0"/>
        <n v="25000.0"/>
        <n v="1650.82"/>
        <n v="1712.72"/>
        <n v="100.0"/>
        <n v="290.9"/>
        <n v="8009.0"/>
        <n v="7638.0"/>
        <n v="6391.0"/>
        <n v="6543.0"/>
        <n v="7000.0"/>
        <n v="6087.0"/>
        <n v="6720.0"/>
        <n v="70786.0"/>
        <n v="47753.0"/>
        <n v="7824.0"/>
        <n v="9565.0"/>
        <n v="2130.0"/>
        <n v="20000.0"/>
        <n v="5000.0"/>
        <n v="1380.0"/>
        <n v="1946.0"/>
        <n v="200.0"/>
        <n v="3478.0"/>
        <n v="649.0"/>
        <n v="780.0"/>
        <n v="5400.0"/>
        <n v="5545.0"/>
        <n v="291.0"/>
        <n v="3308.0"/>
        <n v="2360.0"/>
        <n v="730.0"/>
        <n v="15000.0"/>
        <n v="210.0"/>
        <n v="2058.0"/>
        <n v="750.0"/>
        <n v="6500.0"/>
        <n v="6000.0"/>
        <n v="5.9"/>
      </sharedItems>
    </cacheField>
    <cacheField name="Deposit Amt." numFmtId="0">
      <sharedItems containsString="0" containsBlank="1" containsNumber="1">
        <m/>
        <n v="2.0"/>
        <n v="131356.0"/>
        <n v="8676.16"/>
        <n v="88491.28"/>
        <n v="50000.0"/>
        <n v="59000.0"/>
        <n v="131320.0"/>
        <n v="186000.0"/>
        <n v="14096.08"/>
        <n v="1.0"/>
        <n v="6145.14"/>
      </sharedItems>
    </cacheField>
    <cacheField name="Closing Balance" numFmtId="0">
      <sharedItems containsSemiMixedTypes="0" containsString="0" containsNumber="1">
        <n v="13285.31"/>
        <n v="13287.31"/>
        <n v="13198.31"/>
        <n v="10698.31"/>
        <n v="9698.31"/>
        <n v="9048.31"/>
        <n v="8048.31"/>
        <n v="139404.31"/>
        <n v="4290.31"/>
        <n v="3290.31"/>
        <n v="2989.41"/>
        <n v="2489.5"/>
        <n v="1719.5"/>
        <n v="19.5"/>
        <n v="8695.66"/>
        <n v="7500.66"/>
        <n v="6000.66"/>
        <n v="5700.66"/>
        <n v="3783.16"/>
        <n v="3533.16"/>
        <n v="3268.16"/>
        <n v="2768.16"/>
        <n v="91259.44"/>
        <n v="77762.44"/>
        <n v="58887.44"/>
        <n v="50887.44"/>
        <n v="49887.44"/>
        <n v="48529.44"/>
        <n v="29654.44"/>
        <n v="29333.54"/>
        <n v="1789.54"/>
        <n v="51789.54"/>
        <n v="47062.54"/>
        <n v="37062.54"/>
        <n v="8088.54"/>
        <n v="3958.54"/>
        <n v="62958.54"/>
        <n v="62908.54"/>
        <n v="62256.54"/>
        <n v="62106.54"/>
        <n v="61786.54"/>
        <n v="36786.54"/>
        <n v="35135.72"/>
        <n v="33423.0"/>
        <n v="33323.0"/>
        <n v="32323.0"/>
        <n v="163643.0"/>
        <n v="163352.1"/>
        <n v="155343.1"/>
        <n v="147705.1"/>
        <n v="141314.1"/>
        <n v="134771.1"/>
        <n v="128380.1"/>
        <n v="121380.1"/>
        <n v="115293.1"/>
        <n v="108293.1"/>
        <n v="101573.1"/>
        <n v="30787.1"/>
        <n v="24396.1"/>
        <n v="210396.1"/>
        <n v="162643.1"/>
        <n v="154819.1"/>
        <n v="145254.1"/>
        <n v="143124.1"/>
        <n v="135115.1"/>
        <n v="115115.1"/>
        <n v="95115.1"/>
        <n v="75115.1"/>
        <n v="55115.1"/>
        <n v="50115.1"/>
        <n v="48735.1"/>
        <n v="46789.1"/>
        <n v="46589.1"/>
        <n v="43111.1"/>
        <n v="42462.1"/>
        <n v="41682.1"/>
        <n v="36282.1"/>
        <n v="30737.1"/>
        <n v="30446.1"/>
        <n v="27138.1"/>
        <n v="41234.18"/>
        <n v="38874.18"/>
        <n v="38144.18"/>
        <n v="23144.18"/>
        <n v="22934.18"/>
        <n v="20876.18"/>
        <n v="12867.18"/>
        <n v="12566.28"/>
        <n v="11816.28"/>
        <n v="6816.28"/>
        <n v="316.28"/>
        <n v="317.28"/>
        <n v="6462.42"/>
        <n v="462.42"/>
        <n v="456.52"/>
      </sharedItems>
    </cacheField>
    <cacheField name="closing balance2" numFmtId="0">
      <sharedItems containsSemiMixedTypes="0" containsString="0" containsNumber="1">
        <n v="13285.310000000027"/>
        <n v="13287.310000000027"/>
        <n v="13198.310000000027"/>
        <n v="10698.310000000027"/>
        <n v="9698.310000000027"/>
        <n v="9048.310000000027"/>
        <n v="8048.310000000027"/>
        <n v="139404.31000000003"/>
        <n v="4290.310000000027"/>
        <n v="3290.310000000027"/>
        <n v="2989.4100000000267"/>
        <n v="2489.500000000027"/>
        <n v="1719.5000000000268"/>
        <n v="19.50000000002683"/>
        <n v="8695.660000000027"/>
        <n v="7500.660000000027"/>
        <n v="6000.660000000027"/>
        <n v="5700.660000000027"/>
        <n v="3783.160000000027"/>
        <n v="3533.160000000027"/>
        <n v="3268.160000000027"/>
        <n v="2768.160000000027"/>
        <n v="91259.44000000003"/>
        <n v="77762.44000000003"/>
        <n v="58887.44000000003"/>
        <n v="50887.44000000003"/>
        <n v="49887.44000000003"/>
        <n v="48529.44000000003"/>
        <n v="29654.44000000003"/>
        <n v="29333.54000000003"/>
        <n v="1789.54000000003"/>
        <n v="51789.54000000003"/>
        <n v="47062.54000000003"/>
        <n v="37062.54000000003"/>
        <n v="8088.54000000003"/>
        <n v="3958.54000000003"/>
        <n v="62958.54000000003"/>
        <n v="62908.54000000003"/>
        <n v="62256.54000000003"/>
        <n v="62106.54000000003"/>
        <n v="61786.54000000003"/>
        <n v="36786.54000000003"/>
        <n v="35135.72000000003"/>
        <n v="33423.00000000003"/>
        <n v="33323.00000000003"/>
        <n v="32323.00000000003"/>
        <n v="163643.00000000003"/>
        <n v="163352.10000000003"/>
        <n v="155343.10000000003"/>
        <n v="147705.10000000003"/>
        <n v="141314.10000000003"/>
        <n v="134771.10000000003"/>
        <n v="128380.10000000003"/>
        <n v="121380.10000000003"/>
        <n v="115293.10000000003"/>
        <n v="108293.10000000003"/>
        <n v="101573.10000000003"/>
        <n v="30787.100000000035"/>
        <n v="24396.100000000035"/>
        <n v="210396.10000000003"/>
        <n v="162643.10000000003"/>
        <n v="154819.10000000003"/>
        <n v="145254.10000000003"/>
        <n v="143124.10000000003"/>
        <n v="135115.10000000003"/>
        <n v="115115.10000000003"/>
        <n v="95115.10000000003"/>
        <n v="75115.10000000003"/>
        <n v="55115.100000000035"/>
        <n v="50115.100000000035"/>
        <n v="48735.100000000035"/>
        <n v="46789.100000000035"/>
        <n v="46589.100000000035"/>
        <n v="43111.100000000035"/>
        <n v="42462.100000000035"/>
        <n v="41682.100000000035"/>
        <n v="36282.100000000035"/>
        <n v="30737.100000000035"/>
        <n v="30446.100000000035"/>
        <n v="27138.100000000035"/>
        <n v="41234.18000000004"/>
        <n v="38874.18000000004"/>
        <n v="38144.18000000004"/>
        <n v="23144.180000000037"/>
        <n v="22934.180000000037"/>
        <n v="20876.180000000037"/>
        <n v="12867.180000000037"/>
        <n v="12566.280000000037"/>
        <n v="11816.280000000037"/>
        <n v="6816.280000000037"/>
        <n v="316.28000000003703"/>
        <n v="317.28000000003703"/>
        <n v="6462.420000000037"/>
        <n v="462.42000000003736"/>
        <n v="456.5200000000374"/>
      </sharedItems>
    </cacheField>
    <cacheField name="Difference" numFmtId="0">
      <sharedItems containsSemiMixedTypes="0" containsString="0" containsNumber="1">
        <n v="-2.7284841053187847E-11"/>
        <n v="-2.637534635141492E-11"/>
        <n v="0.0"/>
        <n v="-2.6830093702301383E-11"/>
        <n v="-3.2741809263825417E-11"/>
        <n v="-2.9103830456733704E-11"/>
        <n v="-3.001332515850663E-11"/>
        <n v="-3.637978807091713E-11"/>
        <n v="-3.728928277269006E-11"/>
        <n v="-3.7061909097246826E-11"/>
        <n v="-3.7346126191550866E-11"/>
        <n v="-3.7402969610411674E-1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04-25" cacheId="0" dataCaption="" compact="0" compactData="0">
  <location ref="A3:C26" firstHeaderRow="0" firstDataRow="2" firstDataCol="0"/>
  <pivotFields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Nar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Ledger" axis="axisRow" compact="0" outline="0" multipleItemSelectionAllowed="1" showAll="0" sortType="ascending">
      <items>
        <item x="10"/>
        <item x="21"/>
        <item x="6"/>
        <item x="2"/>
        <item x="15"/>
        <item x="4"/>
        <item x="0"/>
        <item x="3"/>
        <item x="18"/>
        <item x="20"/>
        <item x="7"/>
        <item x="19"/>
        <item x="16"/>
        <item x="5"/>
        <item x="17"/>
        <item x="12"/>
        <item x="11"/>
        <item x="14"/>
        <item x="9"/>
        <item x="13"/>
        <item x="8"/>
        <item x="1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Withdrawal Amt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eposit Amt.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osing 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losing balan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if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colFields>
    <field x="-2"/>
  </colFields>
  <dataFields>
    <dataField name="Sum of Deposit Amt." fld="5" baseField="0"/>
    <dataField name="Sum of Withdrawal Amt." fld="4" baseField="0"/>
  </dataFields>
</pivotTableDefinition>
</file>

<file path=xl/pivotTables/pivotTable2.xml><?xml version="1.0" encoding="utf-8"?>
<pivotTableDefinition xmlns="http://schemas.openxmlformats.org/spreadsheetml/2006/main" name="05-25" cacheId="1" dataCaption="" compact="0" compactData="0">
  <location ref="A3:C22" firstHeaderRow="0" firstDataRow="2" firstDataCol="0"/>
  <pivotFields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r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Ledger" axis="axisRow" compact="0" outline="0" multipleItemSelectionAllowed="1" showAll="0" sortType="ascending">
      <items>
        <item x="8"/>
        <item x="6"/>
        <item x="1"/>
        <item x="15"/>
        <item x="5"/>
        <item x="9"/>
        <item x="0"/>
        <item x="17"/>
        <item x="4"/>
        <item x="16"/>
        <item x="10"/>
        <item x="12"/>
        <item x="11"/>
        <item x="3"/>
        <item x="13"/>
        <item x="14"/>
        <item x="2"/>
        <item x="7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Withdrawal Amt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eposit Amt.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osing 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losing balan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if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colFields>
    <field x="-2"/>
  </colFields>
  <dataFields>
    <dataField name="Sum of Withdrawal Amt." fld="4" baseField="0"/>
    <dataField name="Sum of Deposit Amt." fld="5" baseField="0"/>
  </dataFields>
</pivotTableDefinition>
</file>

<file path=xl/pivotTables/pivotTable3.xml><?xml version="1.0" encoding="utf-8"?>
<pivotTableDefinition xmlns="http://schemas.openxmlformats.org/spreadsheetml/2006/main" name="06-25" cacheId="2" dataCaption="" compact="0" compactData="0">
  <location ref="A3:C28" firstHeaderRow="0" firstDataRow="2" firstDataCol="0"/>
  <pivotFields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Nar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Ledger" axis="axisRow" compact="0" outline="0" multipleItemSelectionAllowed="1" showAll="0" sortType="ascending">
      <items>
        <item x="20"/>
        <item x="5"/>
        <item x="19"/>
        <item x="11"/>
        <item x="4"/>
        <item x="14"/>
        <item x="13"/>
        <item x="0"/>
        <item x="17"/>
        <item x="2"/>
        <item x="18"/>
        <item x="6"/>
        <item x="22"/>
        <item x="16"/>
        <item x="7"/>
        <item x="12"/>
        <item x="23"/>
        <item x="9"/>
        <item x="1"/>
        <item x="8"/>
        <item x="3"/>
        <item x="10"/>
        <item x="21"/>
        <item x="15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Withdrawal Amt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eposit Amt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losing 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closing balan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Differenc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colFields>
    <field x="-2"/>
  </colFields>
  <dataFields>
    <dataField name="Sum of Withdrawal Amt." fld="4" baseField="0"/>
    <dataField name="Sum of Deposit Amt." fld="5" baseField="0"/>
  </dataFields>
</pivotTableDefinition>
</file>

<file path=xl/pivotTables/pivotTable4.xml><?xml version="1.0" encoding="utf-8"?>
<pivotTableDefinition xmlns="http://schemas.openxmlformats.org/spreadsheetml/2006/main" name="07-25" cacheId="3" dataCaption="" compact="0" compactData="0">
  <location ref="A3:C25" firstHeaderRow="0" firstDataRow="2" firstDataCol="0"/>
  <pivotFields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ar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Ledger" axis="axisRow" compact="0" outline="0" multipleItemSelectionAllowed="1" showAll="0" sortType="ascending">
      <items>
        <item x="11"/>
        <item x="6"/>
        <item x="4"/>
        <item x="2"/>
        <item x="9"/>
        <item x="13"/>
        <item x="1"/>
        <item x="7"/>
        <item x="3"/>
        <item x="18"/>
        <item x="12"/>
        <item x="19"/>
        <item x="20"/>
        <item x="5"/>
        <item x="15"/>
        <item x="16"/>
        <item x="8"/>
        <item x="0"/>
        <item x="10"/>
        <item x="14"/>
        <item x="17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ithdrawal Amt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Deposit Amt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losing 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closing balan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Differen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  <colFields>
    <field x="-2"/>
  </colFields>
  <dataFields>
    <dataField name="Sum of Deposit Amt." fld="5" baseField="0"/>
    <dataField name="Sum of Withdrawal Amt." fld="4" baseField="0"/>
  </dataFields>
</pivotTableDefinition>
</file>

<file path=xl/pivotTables/pivotTable5.xml><?xml version="1.0" encoding="utf-8"?>
<pivotTableDefinition xmlns="http://schemas.openxmlformats.org/spreadsheetml/2006/main" name="08-25" cacheId="4" dataCaption="" compact="0" compactData="0">
  <location ref="A3:C27" firstHeaderRow="0" firstDataRow="2" firstDataCol="0"/>
  <pivotFields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ar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Ledger" axis="axisRow" compact="0" outline="0" multipleItemSelectionAllowed="1" showAll="0" sortType="ascending">
      <items>
        <item x="8"/>
        <item x="0"/>
        <item x="13"/>
        <item x="3"/>
        <item x="16"/>
        <item x="15"/>
        <item x="7"/>
        <item x="10"/>
        <item x="2"/>
        <item x="21"/>
        <item x="14"/>
        <item x="19"/>
        <item x="9"/>
        <item x="17"/>
        <item x="20"/>
        <item x="12"/>
        <item x="6"/>
        <item x="22"/>
        <item x="18"/>
        <item x="4"/>
        <item x="5"/>
        <item x="1"/>
        <item x="11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Withdrawal Amt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Deposit Amt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losing 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closing balan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Dif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2"/>
  </rowFields>
  <colFields>
    <field x="-2"/>
  </colFields>
  <dataFields>
    <dataField name="Sum of Withdrawal Amt." fld="4" baseField="0"/>
    <dataField name="Sum of Deposit Amt." fld="5" baseField="0"/>
  </dataFields>
</pivotTableDefinition>
</file>

<file path=xl/pivotTables/pivotTable6.xml><?xml version="1.0" encoding="utf-8"?>
<pivotTableDefinition xmlns="http://schemas.openxmlformats.org/spreadsheetml/2006/main" name="09-25" cacheId="5" dataCaption="" compact="0" compactData="0">
  <location ref="A3:C32" firstHeaderRow="0" firstDataRow="2" firstDataCol="0"/>
  <pivotFields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ar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Ledger" axis="axisRow" compact="0" outline="0" multipleItemSelectionAllowed="1" showAll="0" sortType="ascending">
      <items>
        <item x="9"/>
        <item x="24"/>
        <item x="25"/>
        <item x="27"/>
        <item x="23"/>
        <item x="2"/>
        <item x="0"/>
        <item x="12"/>
        <item x="17"/>
        <item x="15"/>
        <item x="3"/>
        <item x="18"/>
        <item x="4"/>
        <item x="20"/>
        <item x="19"/>
        <item x="21"/>
        <item x="11"/>
        <item x="1"/>
        <item x="16"/>
        <item x="13"/>
        <item x="5"/>
        <item x="8"/>
        <item x="14"/>
        <item x="10"/>
        <item x="22"/>
        <item x="26"/>
        <item x="6"/>
        <item x="7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Withdrawal Amt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Deposit Amt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losing 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closing balan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Dif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2"/>
  </rowFields>
  <colFields>
    <field x="-2"/>
  </colFields>
  <dataFields>
    <dataField name="Sum of Withdrawal Amt." fld="4" baseField="0"/>
    <dataField name="Sum of Deposit Amt.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88"/>
    <col customWidth="1" min="3" max="3" width="45.63"/>
    <col customWidth="1" min="4" max="4" width="38.63"/>
    <col customWidth="1" min="9" max="9" width="38.0"/>
    <col customWidth="1" min="10" max="10" width="36.88"/>
  </cols>
  <sheetData>
    <row r="1">
      <c r="I1" s="1"/>
    </row>
    <row r="2">
      <c r="B2" s="2" t="s">
        <v>0</v>
      </c>
      <c r="C2" s="3"/>
      <c r="D2" s="4"/>
      <c r="I2" s="1"/>
    </row>
    <row r="3">
      <c r="B3" s="5" t="s">
        <v>1</v>
      </c>
      <c r="C3" s="3"/>
      <c r="D3" s="4"/>
      <c r="I3" s="1"/>
    </row>
    <row r="4">
      <c r="B4" s="5" t="s">
        <v>2</v>
      </c>
      <c r="C4" s="3"/>
      <c r="D4" s="4"/>
      <c r="I4" s="6"/>
      <c r="J4" s="7"/>
    </row>
    <row r="5">
      <c r="B5" s="5" t="s">
        <v>3</v>
      </c>
      <c r="C5" s="3"/>
      <c r="D5" s="4"/>
      <c r="I5" s="8" t="s">
        <v>4</v>
      </c>
      <c r="J5" s="9" t="s">
        <v>5</v>
      </c>
    </row>
    <row r="6">
      <c r="B6" s="5" t="s">
        <v>6</v>
      </c>
      <c r="C6" s="3"/>
      <c r="D6" s="4"/>
      <c r="I6" s="8" t="s">
        <v>7</v>
      </c>
      <c r="J6" s="9" t="s">
        <v>8</v>
      </c>
    </row>
    <row r="7">
      <c r="B7" s="5" t="s">
        <v>9</v>
      </c>
      <c r="C7" s="3"/>
      <c r="D7" s="4"/>
      <c r="I7" s="8" t="s">
        <v>10</v>
      </c>
      <c r="J7" s="9" t="s">
        <v>11</v>
      </c>
    </row>
    <row r="8">
      <c r="B8" s="5" t="s">
        <v>12</v>
      </c>
      <c r="C8" s="3"/>
      <c r="D8" s="4"/>
      <c r="I8" s="10" t="s">
        <v>13</v>
      </c>
      <c r="J8" s="11" t="s">
        <v>14</v>
      </c>
    </row>
    <row r="9">
      <c r="B9" s="5" t="s">
        <v>15</v>
      </c>
      <c r="C9" s="3"/>
      <c r="D9" s="4"/>
      <c r="I9" s="1"/>
    </row>
    <row r="10">
      <c r="B10" s="5" t="s">
        <v>16</v>
      </c>
      <c r="C10" s="3"/>
      <c r="D10" s="4"/>
      <c r="I10" s="1"/>
    </row>
    <row r="11">
      <c r="B11" s="12"/>
      <c r="C11" s="12"/>
      <c r="D11" s="12"/>
      <c r="I11" s="1"/>
    </row>
    <row r="12">
      <c r="B12" s="13" t="s">
        <v>17</v>
      </c>
      <c r="C12" s="3"/>
      <c r="D12" s="4"/>
      <c r="I12" s="1"/>
    </row>
    <row r="13">
      <c r="B13" s="14" t="s">
        <v>18</v>
      </c>
      <c r="C13" s="14" t="s">
        <v>19</v>
      </c>
      <c r="D13" s="14" t="s">
        <v>20</v>
      </c>
      <c r="I13" s="1"/>
    </row>
    <row r="14">
      <c r="B14" s="15" t="s">
        <v>21</v>
      </c>
      <c r="C14" s="16" t="s">
        <v>22</v>
      </c>
      <c r="D14" s="16" t="s">
        <v>23</v>
      </c>
      <c r="I14" s="1"/>
    </row>
    <row r="15">
      <c r="B15" s="15" t="s">
        <v>24</v>
      </c>
      <c r="C15" s="16" t="s">
        <v>25</v>
      </c>
      <c r="D15" s="16" t="s">
        <v>26</v>
      </c>
      <c r="I15" s="1"/>
    </row>
    <row r="16">
      <c r="B16" s="15" t="s">
        <v>27</v>
      </c>
      <c r="C16" s="16" t="s">
        <v>28</v>
      </c>
      <c r="D16" s="16" t="s">
        <v>29</v>
      </c>
      <c r="I16" s="1"/>
    </row>
    <row r="17">
      <c r="B17" s="15" t="s">
        <v>30</v>
      </c>
      <c r="C17" s="16" t="s">
        <v>31</v>
      </c>
      <c r="D17" s="16" t="s">
        <v>32</v>
      </c>
      <c r="I17" s="1"/>
    </row>
    <row r="18">
      <c r="B18" s="15" t="s">
        <v>33</v>
      </c>
      <c r="C18" s="16" t="s">
        <v>34</v>
      </c>
      <c r="D18" s="16" t="s">
        <v>35</v>
      </c>
      <c r="I18" s="1"/>
    </row>
    <row r="19">
      <c r="B19" s="15" t="s">
        <v>36</v>
      </c>
      <c r="C19" s="16" t="s">
        <v>37</v>
      </c>
      <c r="D19" s="16" t="s">
        <v>38</v>
      </c>
      <c r="I19" s="1"/>
    </row>
    <row r="20">
      <c r="B20" s="12"/>
      <c r="C20" s="12"/>
      <c r="D20" s="12"/>
      <c r="I20" s="1"/>
    </row>
    <row r="21">
      <c r="B21" s="12"/>
      <c r="C21" s="12"/>
      <c r="D21" s="12"/>
      <c r="I21" s="1"/>
    </row>
    <row r="22">
      <c r="B22" s="13" t="s">
        <v>39</v>
      </c>
      <c r="C22" s="3"/>
      <c r="D22" s="4"/>
      <c r="I22" s="1"/>
    </row>
    <row r="23">
      <c r="B23" s="14" t="s">
        <v>40</v>
      </c>
      <c r="C23" s="14" t="s">
        <v>41</v>
      </c>
      <c r="D23" s="14" t="s">
        <v>42</v>
      </c>
      <c r="I23" s="1"/>
    </row>
    <row r="24">
      <c r="B24" s="15" t="s">
        <v>43</v>
      </c>
      <c r="C24" s="17" t="s">
        <v>44</v>
      </c>
      <c r="D24" s="16" t="s">
        <v>45</v>
      </c>
      <c r="I24" s="1"/>
    </row>
    <row r="25">
      <c r="B25" s="15" t="s">
        <v>46</v>
      </c>
      <c r="C25" s="17" t="s">
        <v>47</v>
      </c>
      <c r="D25" s="16" t="s">
        <v>48</v>
      </c>
      <c r="I25" s="1"/>
    </row>
    <row r="26">
      <c r="B26" s="15" t="s">
        <v>49</v>
      </c>
      <c r="C26" s="18">
        <v>0.2</v>
      </c>
      <c r="D26" s="16" t="s">
        <v>50</v>
      </c>
      <c r="I26" s="1"/>
    </row>
    <row r="27">
      <c r="B27" s="15" t="s">
        <v>51</v>
      </c>
      <c r="C27" s="17" t="s">
        <v>52</v>
      </c>
      <c r="D27" s="16" t="s">
        <v>53</v>
      </c>
      <c r="I27" s="1"/>
    </row>
    <row r="28">
      <c r="F28" s="13" t="s">
        <v>54</v>
      </c>
      <c r="G28" s="3"/>
      <c r="H28" s="3"/>
      <c r="I28" s="4"/>
    </row>
    <row r="29">
      <c r="F29" s="15" t="s">
        <v>18</v>
      </c>
      <c r="G29" s="15" t="s">
        <v>55</v>
      </c>
      <c r="H29" s="15" t="s">
        <v>56</v>
      </c>
      <c r="I29" s="19" t="s">
        <v>57</v>
      </c>
    </row>
    <row r="30">
      <c r="F30" s="16" t="s">
        <v>58</v>
      </c>
      <c r="G30" s="20">
        <v>1.0</v>
      </c>
      <c r="H30" s="21" t="s">
        <v>59</v>
      </c>
      <c r="I30" s="22" t="s">
        <v>60</v>
      </c>
    </row>
    <row r="31">
      <c r="F31" s="16" t="s">
        <v>61</v>
      </c>
      <c r="G31" s="20">
        <v>0.45</v>
      </c>
      <c r="H31" s="21" t="s">
        <v>62</v>
      </c>
      <c r="I31" s="22" t="s">
        <v>63</v>
      </c>
    </row>
    <row r="32">
      <c r="F32" s="16" t="s">
        <v>64</v>
      </c>
      <c r="G32" s="20">
        <v>0.2</v>
      </c>
      <c r="H32" s="23">
        <v>90821.0</v>
      </c>
      <c r="I32" s="22" t="s">
        <v>65</v>
      </c>
    </row>
    <row r="33">
      <c r="F33" s="16" t="s">
        <v>66</v>
      </c>
      <c r="G33" s="20">
        <v>0.1</v>
      </c>
      <c r="H33" s="23">
        <v>45410.0</v>
      </c>
      <c r="I33" s="22" t="s">
        <v>67</v>
      </c>
    </row>
    <row r="34">
      <c r="F34" s="16" t="s">
        <v>68</v>
      </c>
      <c r="G34" s="20">
        <v>0.1</v>
      </c>
      <c r="H34" s="23">
        <v>45410.0</v>
      </c>
      <c r="I34" s="22" t="s">
        <v>69</v>
      </c>
    </row>
    <row r="35">
      <c r="F35" s="16" t="s">
        <v>70</v>
      </c>
      <c r="G35" s="20">
        <v>0.15</v>
      </c>
      <c r="H35" s="23">
        <v>68116.0</v>
      </c>
      <c r="I35" s="22" t="s">
        <v>71</v>
      </c>
    </row>
    <row r="36">
      <c r="I36" s="1"/>
    </row>
    <row r="37">
      <c r="I37" s="1"/>
    </row>
    <row r="38">
      <c r="I38" s="1"/>
    </row>
    <row r="39">
      <c r="I39" s="1"/>
    </row>
    <row r="40">
      <c r="I40" s="1"/>
    </row>
    <row r="41">
      <c r="I41" s="1"/>
    </row>
    <row r="42">
      <c r="I42" s="1"/>
    </row>
    <row r="43">
      <c r="I43" s="1"/>
    </row>
    <row r="44">
      <c r="I44" s="1"/>
    </row>
    <row r="45">
      <c r="I45" s="1"/>
    </row>
    <row r="46">
      <c r="I46" s="1"/>
    </row>
    <row r="47">
      <c r="I47" s="1"/>
    </row>
    <row r="48">
      <c r="I48" s="1"/>
    </row>
    <row r="49">
      <c r="I49" s="1"/>
    </row>
    <row r="50">
      <c r="I50" s="1"/>
    </row>
    <row r="51">
      <c r="I51" s="1"/>
    </row>
    <row r="52">
      <c r="I52" s="1"/>
    </row>
    <row r="53">
      <c r="I53" s="1"/>
    </row>
    <row r="54">
      <c r="I54" s="1"/>
    </row>
    <row r="55">
      <c r="I55" s="1"/>
    </row>
    <row r="56">
      <c r="I56" s="1"/>
    </row>
    <row r="57">
      <c r="I57" s="1"/>
    </row>
    <row r="58">
      <c r="I58" s="1"/>
    </row>
    <row r="59">
      <c r="I59" s="1"/>
    </row>
    <row r="60">
      <c r="I60" s="1"/>
    </row>
    <row r="61">
      <c r="I61" s="1"/>
    </row>
    <row r="62">
      <c r="I62" s="1"/>
    </row>
    <row r="63">
      <c r="I63" s="1"/>
    </row>
    <row r="64">
      <c r="I64" s="1"/>
    </row>
    <row r="65">
      <c r="I65" s="1"/>
    </row>
    <row r="66">
      <c r="I66" s="1"/>
    </row>
    <row r="67">
      <c r="I67" s="1"/>
    </row>
    <row r="68">
      <c r="I68" s="1"/>
    </row>
    <row r="69">
      <c r="I69" s="1"/>
    </row>
    <row r="70">
      <c r="I70" s="1"/>
    </row>
    <row r="71">
      <c r="I71" s="1"/>
    </row>
    <row r="72">
      <c r="I72" s="1"/>
    </row>
    <row r="73">
      <c r="I73" s="1"/>
    </row>
    <row r="74">
      <c r="I74" s="1"/>
    </row>
    <row r="75">
      <c r="I75" s="1"/>
    </row>
    <row r="76">
      <c r="I76" s="1"/>
    </row>
    <row r="77">
      <c r="I77" s="1"/>
    </row>
    <row r="78">
      <c r="I78" s="1"/>
    </row>
    <row r="79">
      <c r="I79" s="1"/>
    </row>
    <row r="80">
      <c r="I80" s="1"/>
    </row>
    <row r="81">
      <c r="I81" s="1"/>
    </row>
    <row r="82">
      <c r="I82" s="1"/>
    </row>
    <row r="83">
      <c r="I83" s="1"/>
    </row>
    <row r="84">
      <c r="I84" s="1"/>
    </row>
    <row r="85">
      <c r="I85" s="1"/>
    </row>
    <row r="86">
      <c r="I86" s="1"/>
    </row>
    <row r="87">
      <c r="I87" s="1"/>
    </row>
    <row r="88">
      <c r="I88" s="1"/>
    </row>
    <row r="89">
      <c r="I89" s="1"/>
    </row>
    <row r="90">
      <c r="I90" s="1"/>
    </row>
    <row r="91">
      <c r="I91" s="1"/>
    </row>
    <row r="92">
      <c r="I92" s="1"/>
    </row>
    <row r="93">
      <c r="I93" s="1"/>
    </row>
    <row r="94">
      <c r="I94" s="1"/>
    </row>
    <row r="95">
      <c r="I95" s="1"/>
    </row>
    <row r="96">
      <c r="I96" s="1"/>
    </row>
    <row r="97">
      <c r="I97" s="1"/>
    </row>
    <row r="98">
      <c r="I98" s="1"/>
    </row>
    <row r="99">
      <c r="I99" s="1"/>
    </row>
    <row r="100">
      <c r="I100" s="1"/>
    </row>
    <row r="101">
      <c r="I101" s="1"/>
    </row>
    <row r="102">
      <c r="I102" s="1"/>
    </row>
    <row r="103">
      <c r="I103" s="1"/>
    </row>
    <row r="104">
      <c r="I104" s="1"/>
    </row>
    <row r="105">
      <c r="I105" s="1"/>
    </row>
    <row r="106">
      <c r="I106" s="1"/>
    </row>
    <row r="107">
      <c r="I107" s="1"/>
    </row>
    <row r="108">
      <c r="I108" s="1"/>
    </row>
    <row r="109">
      <c r="I109" s="1"/>
    </row>
    <row r="110">
      <c r="I110" s="1"/>
    </row>
    <row r="111">
      <c r="I111" s="1"/>
    </row>
    <row r="112">
      <c r="I112" s="1"/>
    </row>
    <row r="113">
      <c r="I113" s="1"/>
    </row>
    <row r="114">
      <c r="I114" s="1"/>
    </row>
    <row r="115">
      <c r="I115" s="1"/>
    </row>
    <row r="116">
      <c r="I116" s="1"/>
    </row>
    <row r="117">
      <c r="I117" s="1"/>
    </row>
    <row r="118">
      <c r="I118" s="1"/>
    </row>
    <row r="119">
      <c r="I119" s="1"/>
    </row>
    <row r="120">
      <c r="I120" s="1"/>
    </row>
    <row r="121">
      <c r="I121" s="1"/>
    </row>
    <row r="122">
      <c r="I122" s="1"/>
    </row>
    <row r="123">
      <c r="I123" s="1"/>
    </row>
    <row r="124">
      <c r="I124" s="1"/>
    </row>
    <row r="125">
      <c r="I125" s="1"/>
    </row>
    <row r="126">
      <c r="I126" s="1"/>
    </row>
    <row r="127">
      <c r="I127" s="1"/>
    </row>
    <row r="128">
      <c r="I128" s="1"/>
    </row>
    <row r="129">
      <c r="I129" s="1"/>
    </row>
    <row r="130">
      <c r="I130" s="1"/>
    </row>
    <row r="131">
      <c r="I131" s="1"/>
    </row>
    <row r="132">
      <c r="I132" s="1"/>
    </row>
    <row r="133">
      <c r="I133" s="1"/>
    </row>
    <row r="134">
      <c r="I134" s="1"/>
    </row>
    <row r="135">
      <c r="I135" s="1"/>
    </row>
    <row r="136">
      <c r="I136" s="1"/>
    </row>
    <row r="137">
      <c r="I137" s="1"/>
    </row>
    <row r="138">
      <c r="I138" s="1"/>
    </row>
    <row r="139">
      <c r="I139" s="1"/>
    </row>
    <row r="140">
      <c r="I140" s="1"/>
    </row>
    <row r="141">
      <c r="I141" s="1"/>
    </row>
    <row r="142">
      <c r="I142" s="1"/>
    </row>
    <row r="143">
      <c r="I143" s="1"/>
    </row>
    <row r="144">
      <c r="I144" s="1"/>
    </row>
    <row r="145">
      <c r="I145" s="1"/>
    </row>
    <row r="146">
      <c r="I146" s="1"/>
    </row>
    <row r="147">
      <c r="I147" s="1"/>
    </row>
    <row r="148">
      <c r="I148" s="1"/>
    </row>
    <row r="149">
      <c r="I149" s="1"/>
    </row>
    <row r="150">
      <c r="I150" s="1"/>
    </row>
    <row r="151">
      <c r="I151" s="1"/>
    </row>
    <row r="152">
      <c r="I152" s="1"/>
    </row>
    <row r="153">
      <c r="I153" s="1"/>
    </row>
    <row r="154">
      <c r="I154" s="1"/>
    </row>
    <row r="155">
      <c r="I155" s="1"/>
    </row>
    <row r="156">
      <c r="I156" s="1"/>
    </row>
    <row r="157">
      <c r="I157" s="1"/>
    </row>
    <row r="158">
      <c r="I158" s="1"/>
    </row>
    <row r="159">
      <c r="I159" s="1"/>
    </row>
    <row r="160">
      <c r="I160" s="1"/>
    </row>
    <row r="161">
      <c r="I161" s="1"/>
    </row>
    <row r="162">
      <c r="I162" s="1"/>
    </row>
    <row r="163">
      <c r="I163" s="1"/>
    </row>
    <row r="164">
      <c r="I164" s="1"/>
    </row>
    <row r="165">
      <c r="I165" s="1"/>
    </row>
    <row r="166">
      <c r="I166" s="1"/>
    </row>
    <row r="167">
      <c r="I167" s="1"/>
    </row>
    <row r="168">
      <c r="I168" s="1"/>
    </row>
    <row r="169">
      <c r="I169" s="1"/>
    </row>
    <row r="170">
      <c r="I170" s="1"/>
    </row>
    <row r="171">
      <c r="I171" s="1"/>
    </row>
    <row r="172">
      <c r="I172" s="1"/>
    </row>
    <row r="173">
      <c r="I173" s="1"/>
    </row>
    <row r="174">
      <c r="I174" s="1"/>
    </row>
    <row r="175">
      <c r="I175" s="1"/>
    </row>
    <row r="176">
      <c r="I176" s="1"/>
    </row>
    <row r="177">
      <c r="I177" s="1"/>
    </row>
    <row r="178">
      <c r="I178" s="1"/>
    </row>
    <row r="179">
      <c r="I179" s="1"/>
    </row>
    <row r="180">
      <c r="I180" s="1"/>
    </row>
    <row r="181">
      <c r="I181" s="1"/>
    </row>
    <row r="182">
      <c r="I182" s="1"/>
    </row>
    <row r="183">
      <c r="I183" s="1"/>
    </row>
    <row r="184">
      <c r="I184" s="1"/>
    </row>
    <row r="185">
      <c r="I185" s="1"/>
    </row>
    <row r="186">
      <c r="I186" s="1"/>
    </row>
    <row r="187">
      <c r="I187" s="1"/>
    </row>
    <row r="188">
      <c r="I188" s="1"/>
    </row>
    <row r="189">
      <c r="I189" s="1"/>
    </row>
    <row r="190">
      <c r="I190" s="1"/>
    </row>
    <row r="191">
      <c r="I191" s="1"/>
    </row>
    <row r="192">
      <c r="I192" s="1"/>
    </row>
    <row r="193">
      <c r="I193" s="1"/>
    </row>
    <row r="194">
      <c r="I194" s="1"/>
    </row>
    <row r="195">
      <c r="I195" s="1"/>
    </row>
    <row r="196">
      <c r="I196" s="1"/>
    </row>
    <row r="197">
      <c r="I197" s="1"/>
    </row>
    <row r="198">
      <c r="I198" s="1"/>
    </row>
    <row r="199">
      <c r="I199" s="1"/>
    </row>
    <row r="200">
      <c r="I200" s="1"/>
    </row>
    <row r="201">
      <c r="I201" s="1"/>
    </row>
    <row r="202">
      <c r="I202" s="1"/>
    </row>
    <row r="203">
      <c r="I203" s="1"/>
    </row>
    <row r="204">
      <c r="I204" s="1"/>
    </row>
    <row r="205">
      <c r="I205" s="1"/>
    </row>
    <row r="206">
      <c r="I206" s="1"/>
    </row>
    <row r="207">
      <c r="I207" s="1"/>
    </row>
    <row r="208">
      <c r="I208" s="1"/>
    </row>
    <row r="209">
      <c r="I209" s="1"/>
    </row>
    <row r="210">
      <c r="I210" s="1"/>
    </row>
    <row r="211">
      <c r="I211" s="1"/>
    </row>
    <row r="212">
      <c r="I212" s="1"/>
    </row>
    <row r="213">
      <c r="I213" s="1"/>
    </row>
    <row r="214">
      <c r="I214" s="1"/>
    </row>
    <row r="215">
      <c r="I215" s="1"/>
    </row>
    <row r="216">
      <c r="I216" s="1"/>
    </row>
    <row r="217">
      <c r="I217" s="1"/>
    </row>
    <row r="218">
      <c r="I218" s="1"/>
    </row>
    <row r="219">
      <c r="I219" s="1"/>
    </row>
    <row r="220">
      <c r="I220" s="1"/>
    </row>
    <row r="221">
      <c r="I221" s="1"/>
    </row>
    <row r="222">
      <c r="I222" s="1"/>
    </row>
    <row r="223">
      <c r="I223" s="1"/>
    </row>
    <row r="224">
      <c r="I224" s="1"/>
    </row>
    <row r="225">
      <c r="I225" s="1"/>
    </row>
    <row r="226">
      <c r="I226" s="1"/>
    </row>
    <row r="227">
      <c r="I227" s="1"/>
    </row>
    <row r="228">
      <c r="I228" s="1"/>
    </row>
    <row r="229">
      <c r="I229" s="1"/>
    </row>
    <row r="230">
      <c r="I230" s="1"/>
    </row>
    <row r="231">
      <c r="I231" s="1"/>
    </row>
    <row r="232">
      <c r="I232" s="1"/>
    </row>
    <row r="233">
      <c r="I233" s="1"/>
    </row>
    <row r="234">
      <c r="I234" s="1"/>
    </row>
    <row r="235">
      <c r="I235" s="1"/>
    </row>
    <row r="236">
      <c r="I236" s="1"/>
    </row>
    <row r="237">
      <c r="I237" s="1"/>
    </row>
    <row r="238">
      <c r="I238" s="1"/>
    </row>
    <row r="239">
      <c r="I239" s="1"/>
    </row>
    <row r="240">
      <c r="I240" s="1"/>
    </row>
    <row r="241">
      <c r="I241" s="1"/>
    </row>
    <row r="242">
      <c r="I242" s="1"/>
    </row>
    <row r="243">
      <c r="I243" s="1"/>
    </row>
    <row r="244">
      <c r="I244" s="1"/>
    </row>
    <row r="245">
      <c r="I245" s="1"/>
    </row>
    <row r="246">
      <c r="I246" s="1"/>
    </row>
    <row r="247">
      <c r="I247" s="1"/>
    </row>
    <row r="248">
      <c r="I248" s="1"/>
    </row>
    <row r="249">
      <c r="I249" s="1"/>
    </row>
    <row r="250">
      <c r="I250" s="1"/>
    </row>
    <row r="251">
      <c r="I251" s="1"/>
    </row>
    <row r="252">
      <c r="I252" s="1"/>
    </row>
    <row r="253">
      <c r="I253" s="1"/>
    </row>
    <row r="254">
      <c r="I254" s="1"/>
    </row>
    <row r="255">
      <c r="I255" s="1"/>
    </row>
    <row r="256">
      <c r="I256" s="1"/>
    </row>
    <row r="257">
      <c r="I257" s="1"/>
    </row>
    <row r="258">
      <c r="I258" s="1"/>
    </row>
    <row r="259">
      <c r="I259" s="1"/>
    </row>
    <row r="260">
      <c r="I260" s="1"/>
    </row>
    <row r="261">
      <c r="I261" s="1"/>
    </row>
    <row r="262">
      <c r="I262" s="1"/>
    </row>
    <row r="263">
      <c r="I263" s="1"/>
    </row>
    <row r="264">
      <c r="I264" s="1"/>
    </row>
    <row r="265">
      <c r="I265" s="1"/>
    </row>
    <row r="266">
      <c r="I266" s="1"/>
    </row>
    <row r="267">
      <c r="I267" s="1"/>
    </row>
    <row r="268">
      <c r="I268" s="1"/>
    </row>
    <row r="269">
      <c r="I269" s="1"/>
    </row>
    <row r="270">
      <c r="I270" s="1"/>
    </row>
    <row r="271">
      <c r="I271" s="1"/>
    </row>
    <row r="272">
      <c r="I272" s="1"/>
    </row>
    <row r="273">
      <c r="I273" s="1"/>
    </row>
    <row r="274">
      <c r="I274" s="1"/>
    </row>
    <row r="275">
      <c r="I275" s="1"/>
    </row>
    <row r="276">
      <c r="I276" s="1"/>
    </row>
    <row r="277">
      <c r="I277" s="1"/>
    </row>
    <row r="278">
      <c r="I278" s="1"/>
    </row>
    <row r="279">
      <c r="I279" s="1"/>
    </row>
    <row r="280">
      <c r="I280" s="1"/>
    </row>
    <row r="281">
      <c r="I281" s="1"/>
    </row>
    <row r="282">
      <c r="I282" s="1"/>
    </row>
    <row r="283">
      <c r="I283" s="1"/>
    </row>
    <row r="284">
      <c r="I284" s="1"/>
    </row>
    <row r="285">
      <c r="I285" s="1"/>
    </row>
    <row r="286">
      <c r="I286" s="1"/>
    </row>
    <row r="287">
      <c r="I287" s="1"/>
    </row>
    <row r="288">
      <c r="I288" s="1"/>
    </row>
    <row r="289">
      <c r="I289" s="1"/>
    </row>
    <row r="290">
      <c r="I290" s="1"/>
    </row>
    <row r="291">
      <c r="I291" s="1"/>
    </row>
    <row r="292">
      <c r="I292" s="1"/>
    </row>
    <row r="293">
      <c r="I293" s="1"/>
    </row>
    <row r="294">
      <c r="I294" s="1"/>
    </row>
    <row r="295">
      <c r="I295" s="1"/>
    </row>
    <row r="296">
      <c r="I296" s="1"/>
    </row>
    <row r="297">
      <c r="I297" s="1"/>
    </row>
    <row r="298">
      <c r="I298" s="1"/>
    </row>
    <row r="299">
      <c r="I299" s="1"/>
    </row>
    <row r="300">
      <c r="I300" s="1"/>
    </row>
    <row r="301">
      <c r="I301" s="1"/>
    </row>
    <row r="302">
      <c r="I302" s="1"/>
    </row>
    <row r="303">
      <c r="I303" s="1"/>
    </row>
    <row r="304">
      <c r="I304" s="1"/>
    </row>
    <row r="305">
      <c r="I305" s="1"/>
    </row>
    <row r="306">
      <c r="I306" s="1"/>
    </row>
    <row r="307">
      <c r="I307" s="1"/>
    </row>
    <row r="308">
      <c r="I308" s="1"/>
    </row>
    <row r="309">
      <c r="I309" s="1"/>
    </row>
    <row r="310">
      <c r="I310" s="1"/>
    </row>
    <row r="311">
      <c r="I311" s="1"/>
    </row>
    <row r="312">
      <c r="I312" s="1"/>
    </row>
    <row r="313">
      <c r="I313" s="1"/>
    </row>
    <row r="314">
      <c r="I314" s="1"/>
    </row>
    <row r="315">
      <c r="I315" s="1"/>
    </row>
    <row r="316">
      <c r="I316" s="1"/>
    </row>
    <row r="317">
      <c r="I317" s="1"/>
    </row>
    <row r="318">
      <c r="I318" s="1"/>
    </row>
    <row r="319">
      <c r="I319" s="1"/>
    </row>
    <row r="320">
      <c r="I320" s="1"/>
    </row>
    <row r="321">
      <c r="I321" s="1"/>
    </row>
    <row r="322">
      <c r="I322" s="1"/>
    </row>
    <row r="323">
      <c r="I323" s="1"/>
    </row>
    <row r="324">
      <c r="I324" s="1"/>
    </row>
    <row r="325">
      <c r="I325" s="1"/>
    </row>
    <row r="326">
      <c r="I326" s="1"/>
    </row>
    <row r="327">
      <c r="I327" s="1"/>
    </row>
    <row r="328">
      <c r="I328" s="1"/>
    </row>
    <row r="329">
      <c r="I329" s="1"/>
    </row>
    <row r="330">
      <c r="I330" s="1"/>
    </row>
    <row r="331">
      <c r="I331" s="1"/>
    </row>
    <row r="332">
      <c r="I332" s="1"/>
    </row>
    <row r="333">
      <c r="I333" s="1"/>
    </row>
    <row r="334">
      <c r="I334" s="1"/>
    </row>
    <row r="335">
      <c r="I335" s="1"/>
    </row>
    <row r="336">
      <c r="I336" s="1"/>
    </row>
    <row r="337">
      <c r="I337" s="1"/>
    </row>
    <row r="338">
      <c r="I338" s="1"/>
    </row>
    <row r="339">
      <c r="I339" s="1"/>
    </row>
    <row r="340">
      <c r="I340" s="1"/>
    </row>
    <row r="341">
      <c r="I341" s="1"/>
    </row>
    <row r="342">
      <c r="I342" s="1"/>
    </row>
    <row r="343">
      <c r="I343" s="1"/>
    </row>
    <row r="344">
      <c r="I344" s="1"/>
    </row>
    <row r="345">
      <c r="I345" s="1"/>
    </row>
    <row r="346">
      <c r="I346" s="1"/>
    </row>
    <row r="347">
      <c r="I347" s="1"/>
    </row>
    <row r="348">
      <c r="I348" s="1"/>
    </row>
    <row r="349">
      <c r="I349" s="1"/>
    </row>
    <row r="350">
      <c r="I350" s="1"/>
    </row>
    <row r="351">
      <c r="I351" s="1"/>
    </row>
    <row r="352">
      <c r="I352" s="1"/>
    </row>
    <row r="353">
      <c r="I353" s="1"/>
    </row>
    <row r="354">
      <c r="I354" s="1"/>
    </row>
    <row r="355">
      <c r="I355" s="1"/>
    </row>
    <row r="356">
      <c r="I356" s="1"/>
    </row>
    <row r="357">
      <c r="I357" s="1"/>
    </row>
    <row r="358">
      <c r="I358" s="1"/>
    </row>
    <row r="359">
      <c r="I359" s="1"/>
    </row>
    <row r="360">
      <c r="I360" s="1"/>
    </row>
    <row r="361">
      <c r="I361" s="1"/>
    </row>
    <row r="362">
      <c r="I362" s="1"/>
    </row>
    <row r="363">
      <c r="I363" s="1"/>
    </row>
    <row r="364">
      <c r="I364" s="1"/>
    </row>
    <row r="365">
      <c r="I365" s="1"/>
    </row>
    <row r="366">
      <c r="I366" s="1"/>
    </row>
    <row r="367">
      <c r="I367" s="1"/>
    </row>
    <row r="368">
      <c r="I368" s="1"/>
    </row>
    <row r="369">
      <c r="I369" s="1"/>
    </row>
    <row r="370">
      <c r="I370" s="1"/>
    </row>
    <row r="371">
      <c r="I371" s="1"/>
    </row>
    <row r="372">
      <c r="I372" s="1"/>
    </row>
    <row r="373">
      <c r="I373" s="1"/>
    </row>
    <row r="374">
      <c r="I374" s="1"/>
    </row>
    <row r="375">
      <c r="I375" s="1"/>
    </row>
    <row r="376">
      <c r="I376" s="1"/>
    </row>
    <row r="377">
      <c r="I377" s="1"/>
    </row>
    <row r="378">
      <c r="I378" s="1"/>
    </row>
    <row r="379">
      <c r="I379" s="1"/>
    </row>
    <row r="380">
      <c r="I380" s="1"/>
    </row>
    <row r="381">
      <c r="I381" s="1"/>
    </row>
    <row r="382">
      <c r="I382" s="1"/>
    </row>
    <row r="383">
      <c r="I383" s="1"/>
    </row>
    <row r="384">
      <c r="I384" s="1"/>
    </row>
    <row r="385">
      <c r="I385" s="1"/>
    </row>
    <row r="386">
      <c r="I386" s="1"/>
    </row>
    <row r="387">
      <c r="I387" s="1"/>
    </row>
    <row r="388">
      <c r="I388" s="1"/>
    </row>
    <row r="389">
      <c r="I389" s="1"/>
    </row>
    <row r="390">
      <c r="I390" s="1"/>
    </row>
    <row r="391">
      <c r="I391" s="1"/>
    </row>
    <row r="392">
      <c r="I392" s="1"/>
    </row>
    <row r="393">
      <c r="I393" s="1"/>
    </row>
    <row r="394">
      <c r="I394" s="1"/>
    </row>
    <row r="395">
      <c r="I395" s="1"/>
    </row>
    <row r="396">
      <c r="I396" s="1"/>
    </row>
    <row r="397">
      <c r="I397" s="1"/>
    </row>
    <row r="398">
      <c r="I398" s="1"/>
    </row>
    <row r="399">
      <c r="I399" s="1"/>
    </row>
    <row r="400">
      <c r="I400" s="1"/>
    </row>
    <row r="401">
      <c r="I401" s="1"/>
    </row>
    <row r="402">
      <c r="I402" s="1"/>
    </row>
    <row r="403">
      <c r="I403" s="1"/>
    </row>
    <row r="404">
      <c r="I404" s="1"/>
    </row>
    <row r="405">
      <c r="I405" s="1"/>
    </row>
    <row r="406">
      <c r="I406" s="1"/>
    </row>
    <row r="407">
      <c r="I407" s="1"/>
    </row>
    <row r="408">
      <c r="I408" s="1"/>
    </row>
    <row r="409">
      <c r="I409" s="1"/>
    </row>
    <row r="410">
      <c r="I410" s="1"/>
    </row>
    <row r="411">
      <c r="I411" s="1"/>
    </row>
    <row r="412">
      <c r="I412" s="1"/>
    </row>
    <row r="413">
      <c r="I413" s="1"/>
    </row>
    <row r="414">
      <c r="I414" s="1"/>
    </row>
    <row r="415">
      <c r="I415" s="1"/>
    </row>
    <row r="416">
      <c r="I416" s="1"/>
    </row>
    <row r="417">
      <c r="I417" s="1"/>
    </row>
    <row r="418">
      <c r="I418" s="1"/>
    </row>
    <row r="419">
      <c r="I419" s="1"/>
    </row>
    <row r="420">
      <c r="I420" s="1"/>
    </row>
    <row r="421">
      <c r="I421" s="1"/>
    </row>
    <row r="422">
      <c r="I422" s="1"/>
    </row>
    <row r="423">
      <c r="I423" s="1"/>
    </row>
    <row r="424">
      <c r="I424" s="1"/>
    </row>
    <row r="425">
      <c r="I425" s="1"/>
    </row>
    <row r="426">
      <c r="I426" s="1"/>
    </row>
    <row r="427">
      <c r="I427" s="1"/>
    </row>
    <row r="428">
      <c r="I428" s="1"/>
    </row>
    <row r="429">
      <c r="I429" s="1"/>
    </row>
    <row r="430">
      <c r="I430" s="1"/>
    </row>
    <row r="431">
      <c r="I431" s="1"/>
    </row>
    <row r="432">
      <c r="I432" s="1"/>
    </row>
    <row r="433">
      <c r="I433" s="1"/>
    </row>
    <row r="434">
      <c r="I434" s="1"/>
    </row>
    <row r="435">
      <c r="I435" s="1"/>
    </row>
    <row r="436">
      <c r="I436" s="1"/>
    </row>
    <row r="437">
      <c r="I437" s="1"/>
    </row>
    <row r="438">
      <c r="I438" s="1"/>
    </row>
    <row r="439">
      <c r="I439" s="1"/>
    </row>
    <row r="440">
      <c r="I440" s="1"/>
    </row>
    <row r="441">
      <c r="I441" s="1"/>
    </row>
    <row r="442">
      <c r="I442" s="1"/>
    </row>
    <row r="443">
      <c r="I443" s="1"/>
    </row>
    <row r="444">
      <c r="I444" s="1"/>
    </row>
    <row r="445">
      <c r="I445" s="1"/>
    </row>
    <row r="446">
      <c r="I446" s="1"/>
    </row>
    <row r="447">
      <c r="I447" s="1"/>
    </row>
    <row r="448">
      <c r="I448" s="1"/>
    </row>
    <row r="449">
      <c r="I449" s="1"/>
    </row>
    <row r="450">
      <c r="I450" s="1"/>
    </row>
    <row r="451">
      <c r="I451" s="1"/>
    </row>
    <row r="452">
      <c r="I452" s="1"/>
    </row>
    <row r="453">
      <c r="I453" s="1"/>
    </row>
    <row r="454">
      <c r="I454" s="1"/>
    </row>
    <row r="455">
      <c r="I455" s="1"/>
    </row>
    <row r="456">
      <c r="I456" s="1"/>
    </row>
    <row r="457">
      <c r="I457" s="1"/>
    </row>
    <row r="458">
      <c r="I458" s="1"/>
    </row>
    <row r="459">
      <c r="I459" s="1"/>
    </row>
    <row r="460">
      <c r="I460" s="1"/>
    </row>
    <row r="461">
      <c r="I461" s="1"/>
    </row>
    <row r="462">
      <c r="I462" s="1"/>
    </row>
    <row r="463">
      <c r="I463" s="1"/>
    </row>
    <row r="464">
      <c r="I464" s="1"/>
    </row>
    <row r="465">
      <c r="I465" s="1"/>
    </row>
    <row r="466">
      <c r="I466" s="1"/>
    </row>
    <row r="467">
      <c r="I467" s="1"/>
    </row>
    <row r="468">
      <c r="I468" s="1"/>
    </row>
    <row r="469">
      <c r="I469" s="1"/>
    </row>
    <row r="470">
      <c r="I470" s="1"/>
    </row>
    <row r="471">
      <c r="I471" s="1"/>
    </row>
    <row r="472">
      <c r="I472" s="1"/>
    </row>
    <row r="473">
      <c r="I473" s="1"/>
    </row>
    <row r="474">
      <c r="I474" s="1"/>
    </row>
    <row r="475">
      <c r="I475" s="1"/>
    </row>
    <row r="476">
      <c r="I476" s="1"/>
    </row>
    <row r="477">
      <c r="I477" s="1"/>
    </row>
    <row r="478">
      <c r="I478" s="1"/>
    </row>
    <row r="479">
      <c r="I479" s="1"/>
    </row>
    <row r="480">
      <c r="I480" s="1"/>
    </row>
    <row r="481">
      <c r="I481" s="1"/>
    </row>
    <row r="482">
      <c r="I482" s="1"/>
    </row>
    <row r="483">
      <c r="I483" s="1"/>
    </row>
    <row r="484">
      <c r="I484" s="1"/>
    </row>
    <row r="485">
      <c r="I485" s="1"/>
    </row>
    <row r="486">
      <c r="I486" s="1"/>
    </row>
    <row r="487">
      <c r="I487" s="1"/>
    </row>
    <row r="488">
      <c r="I488" s="1"/>
    </row>
    <row r="489">
      <c r="I489" s="1"/>
    </row>
    <row r="490">
      <c r="I490" s="1"/>
    </row>
    <row r="491">
      <c r="I491" s="1"/>
    </row>
    <row r="492">
      <c r="I492" s="1"/>
    </row>
    <row r="493">
      <c r="I493" s="1"/>
    </row>
    <row r="494">
      <c r="I494" s="1"/>
    </row>
    <row r="495">
      <c r="I495" s="1"/>
    </row>
    <row r="496">
      <c r="I496" s="1"/>
    </row>
    <row r="497">
      <c r="I497" s="1"/>
    </row>
    <row r="498">
      <c r="I498" s="1"/>
    </row>
    <row r="499">
      <c r="I499" s="1"/>
    </row>
    <row r="500">
      <c r="I500" s="1"/>
    </row>
    <row r="501">
      <c r="I501" s="1"/>
    </row>
    <row r="502">
      <c r="I502" s="1"/>
    </row>
    <row r="503">
      <c r="I503" s="1"/>
    </row>
    <row r="504">
      <c r="I504" s="1"/>
    </row>
    <row r="505">
      <c r="I505" s="1"/>
    </row>
    <row r="506">
      <c r="I506" s="1"/>
    </row>
    <row r="507">
      <c r="I507" s="1"/>
    </row>
    <row r="508">
      <c r="I508" s="1"/>
    </row>
    <row r="509">
      <c r="I509" s="1"/>
    </row>
    <row r="510">
      <c r="I510" s="1"/>
    </row>
    <row r="511">
      <c r="I511" s="1"/>
    </row>
    <row r="512">
      <c r="I512" s="1"/>
    </row>
    <row r="513">
      <c r="I513" s="1"/>
    </row>
    <row r="514">
      <c r="I514" s="1"/>
    </row>
    <row r="515">
      <c r="I515" s="1"/>
    </row>
    <row r="516">
      <c r="I516" s="1"/>
    </row>
    <row r="517">
      <c r="I517" s="1"/>
    </row>
    <row r="518">
      <c r="I518" s="1"/>
    </row>
    <row r="519">
      <c r="I519" s="1"/>
    </row>
    <row r="520">
      <c r="I520" s="1"/>
    </row>
    <row r="521">
      <c r="I521" s="1"/>
    </row>
    <row r="522">
      <c r="I522" s="1"/>
    </row>
    <row r="523">
      <c r="I523" s="1"/>
    </row>
    <row r="524">
      <c r="I524" s="1"/>
    </row>
    <row r="525">
      <c r="I525" s="1"/>
    </row>
    <row r="526">
      <c r="I526" s="1"/>
    </row>
    <row r="527">
      <c r="I527" s="1"/>
    </row>
    <row r="528">
      <c r="I528" s="1"/>
    </row>
    <row r="529">
      <c r="I529" s="1"/>
    </row>
    <row r="530">
      <c r="I530" s="1"/>
    </row>
    <row r="531">
      <c r="I531" s="1"/>
    </row>
    <row r="532">
      <c r="I532" s="1"/>
    </row>
    <row r="533">
      <c r="I533" s="1"/>
    </row>
    <row r="534">
      <c r="I534" s="1"/>
    </row>
    <row r="535">
      <c r="I535" s="1"/>
    </row>
    <row r="536">
      <c r="I536" s="1"/>
    </row>
    <row r="537">
      <c r="I537" s="1"/>
    </row>
    <row r="538">
      <c r="I538" s="1"/>
    </row>
    <row r="539">
      <c r="I539" s="1"/>
    </row>
    <row r="540">
      <c r="I540" s="1"/>
    </row>
    <row r="541">
      <c r="I541" s="1"/>
    </row>
    <row r="542">
      <c r="I542" s="1"/>
    </row>
    <row r="543">
      <c r="I543" s="1"/>
    </row>
    <row r="544">
      <c r="I544" s="1"/>
    </row>
    <row r="545">
      <c r="I545" s="1"/>
    </row>
    <row r="546">
      <c r="I546" s="1"/>
    </row>
    <row r="547">
      <c r="I547" s="1"/>
    </row>
    <row r="548">
      <c r="I548" s="1"/>
    </row>
    <row r="549">
      <c r="I549" s="1"/>
    </row>
    <row r="550">
      <c r="I550" s="1"/>
    </row>
    <row r="551">
      <c r="I551" s="1"/>
    </row>
    <row r="552">
      <c r="I552" s="1"/>
    </row>
    <row r="553">
      <c r="I553" s="1"/>
    </row>
    <row r="554">
      <c r="I554" s="1"/>
    </row>
    <row r="555">
      <c r="I555" s="1"/>
    </row>
    <row r="556">
      <c r="I556" s="1"/>
    </row>
    <row r="557">
      <c r="I557" s="1"/>
    </row>
    <row r="558">
      <c r="I558" s="1"/>
    </row>
    <row r="559">
      <c r="I559" s="1"/>
    </row>
    <row r="560">
      <c r="I560" s="1"/>
    </row>
    <row r="561">
      <c r="I561" s="1"/>
    </row>
    <row r="562">
      <c r="I562" s="1"/>
    </row>
    <row r="563">
      <c r="I563" s="1"/>
    </row>
    <row r="564">
      <c r="I564" s="1"/>
    </row>
    <row r="565">
      <c r="I565" s="1"/>
    </row>
    <row r="566">
      <c r="I566" s="1"/>
    </row>
    <row r="567">
      <c r="I567" s="1"/>
    </row>
    <row r="568">
      <c r="I568" s="1"/>
    </row>
    <row r="569">
      <c r="I569" s="1"/>
    </row>
    <row r="570">
      <c r="I570" s="1"/>
    </row>
    <row r="571">
      <c r="I571" s="1"/>
    </row>
    <row r="572">
      <c r="I572" s="1"/>
    </row>
    <row r="573">
      <c r="I573" s="1"/>
    </row>
    <row r="574">
      <c r="I574" s="1"/>
    </row>
    <row r="575">
      <c r="I575" s="1"/>
    </row>
    <row r="576">
      <c r="I576" s="1"/>
    </row>
    <row r="577">
      <c r="I577" s="1"/>
    </row>
    <row r="578">
      <c r="I578" s="1"/>
    </row>
    <row r="579">
      <c r="I579" s="1"/>
    </row>
    <row r="580">
      <c r="I580" s="1"/>
    </row>
    <row r="581">
      <c r="I581" s="1"/>
    </row>
    <row r="582">
      <c r="I582" s="1"/>
    </row>
    <row r="583">
      <c r="I583" s="1"/>
    </row>
    <row r="584">
      <c r="I584" s="1"/>
    </row>
    <row r="585">
      <c r="I585" s="1"/>
    </row>
    <row r="586">
      <c r="I586" s="1"/>
    </row>
    <row r="587">
      <c r="I587" s="1"/>
    </row>
    <row r="588">
      <c r="I588" s="1"/>
    </row>
    <row r="589">
      <c r="I589" s="1"/>
    </row>
    <row r="590">
      <c r="I590" s="1"/>
    </row>
    <row r="591">
      <c r="I591" s="1"/>
    </row>
    <row r="592">
      <c r="I592" s="1"/>
    </row>
    <row r="593">
      <c r="I593" s="1"/>
    </row>
    <row r="594">
      <c r="I594" s="1"/>
    </row>
    <row r="595">
      <c r="I595" s="1"/>
    </row>
    <row r="596">
      <c r="I596" s="1"/>
    </row>
    <row r="597">
      <c r="I597" s="1"/>
    </row>
    <row r="598">
      <c r="I598" s="1"/>
    </row>
    <row r="599">
      <c r="I599" s="1"/>
    </row>
    <row r="600">
      <c r="I600" s="1"/>
    </row>
    <row r="601">
      <c r="I601" s="1"/>
    </row>
    <row r="602">
      <c r="I602" s="1"/>
    </row>
    <row r="603">
      <c r="I603" s="1"/>
    </row>
    <row r="604">
      <c r="I604" s="1"/>
    </row>
    <row r="605">
      <c r="I605" s="1"/>
    </row>
    <row r="606">
      <c r="I606" s="1"/>
    </row>
    <row r="607">
      <c r="I607" s="1"/>
    </row>
    <row r="608">
      <c r="I608" s="1"/>
    </row>
    <row r="609">
      <c r="I609" s="1"/>
    </row>
    <row r="610">
      <c r="I610" s="1"/>
    </row>
    <row r="611">
      <c r="I611" s="1"/>
    </row>
    <row r="612">
      <c r="I612" s="1"/>
    </row>
    <row r="613">
      <c r="I613" s="1"/>
    </row>
    <row r="614">
      <c r="I614" s="1"/>
    </row>
    <row r="615">
      <c r="I615" s="1"/>
    </row>
    <row r="616">
      <c r="I616" s="1"/>
    </row>
    <row r="617">
      <c r="I617" s="1"/>
    </row>
    <row r="618">
      <c r="I618" s="1"/>
    </row>
    <row r="619">
      <c r="I619" s="1"/>
    </row>
    <row r="620">
      <c r="I620" s="1"/>
    </row>
    <row r="621">
      <c r="I621" s="1"/>
    </row>
    <row r="622">
      <c r="I622" s="1"/>
    </row>
    <row r="623">
      <c r="I623" s="1"/>
    </row>
    <row r="624">
      <c r="I624" s="1"/>
    </row>
    <row r="625">
      <c r="I625" s="1"/>
    </row>
    <row r="626">
      <c r="I626" s="1"/>
    </row>
    <row r="627">
      <c r="I627" s="1"/>
    </row>
    <row r="628">
      <c r="I628" s="1"/>
    </row>
    <row r="629">
      <c r="I629" s="1"/>
    </row>
    <row r="630">
      <c r="I630" s="1"/>
    </row>
    <row r="631">
      <c r="I631" s="1"/>
    </row>
    <row r="632">
      <c r="I632" s="1"/>
    </row>
    <row r="633">
      <c r="I633" s="1"/>
    </row>
    <row r="634">
      <c r="I634" s="1"/>
    </row>
    <row r="635">
      <c r="I635" s="1"/>
    </row>
    <row r="636">
      <c r="I636" s="1"/>
    </row>
    <row r="637">
      <c r="I637" s="1"/>
    </row>
    <row r="638">
      <c r="I638" s="1"/>
    </row>
    <row r="639">
      <c r="I639" s="1"/>
    </row>
    <row r="640">
      <c r="I640" s="1"/>
    </row>
    <row r="641">
      <c r="I641" s="1"/>
    </row>
    <row r="642">
      <c r="I642" s="1"/>
    </row>
    <row r="643">
      <c r="I643" s="1"/>
    </row>
    <row r="644">
      <c r="I644" s="1"/>
    </row>
    <row r="645">
      <c r="I645" s="1"/>
    </row>
    <row r="646">
      <c r="I646" s="1"/>
    </row>
    <row r="647">
      <c r="I647" s="1"/>
    </row>
    <row r="648">
      <c r="I648" s="1"/>
    </row>
    <row r="649">
      <c r="I649" s="1"/>
    </row>
    <row r="650">
      <c r="I650" s="1"/>
    </row>
    <row r="651">
      <c r="I651" s="1"/>
    </row>
    <row r="652">
      <c r="I652" s="1"/>
    </row>
    <row r="653">
      <c r="I653" s="1"/>
    </row>
    <row r="654">
      <c r="I654" s="1"/>
    </row>
    <row r="655">
      <c r="I655" s="1"/>
    </row>
    <row r="656">
      <c r="I656" s="1"/>
    </row>
    <row r="657">
      <c r="I657" s="1"/>
    </row>
    <row r="658">
      <c r="I658" s="1"/>
    </row>
    <row r="659">
      <c r="I659" s="1"/>
    </row>
    <row r="660">
      <c r="I660" s="1"/>
    </row>
    <row r="661">
      <c r="I661" s="1"/>
    </row>
    <row r="662">
      <c r="I662" s="1"/>
    </row>
    <row r="663">
      <c r="I663" s="1"/>
    </row>
    <row r="664">
      <c r="I664" s="1"/>
    </row>
    <row r="665">
      <c r="I665" s="1"/>
    </row>
    <row r="666">
      <c r="I666" s="1"/>
    </row>
    <row r="667">
      <c r="I667" s="1"/>
    </row>
    <row r="668">
      <c r="I668" s="1"/>
    </row>
    <row r="669">
      <c r="I669" s="1"/>
    </row>
    <row r="670">
      <c r="I670" s="1"/>
    </row>
    <row r="671">
      <c r="I671" s="1"/>
    </row>
    <row r="672">
      <c r="I672" s="1"/>
    </row>
    <row r="673">
      <c r="I673" s="1"/>
    </row>
    <row r="674">
      <c r="I674" s="1"/>
    </row>
    <row r="675">
      <c r="I675" s="1"/>
    </row>
    <row r="676">
      <c r="I676" s="1"/>
    </row>
    <row r="677">
      <c r="I677" s="1"/>
    </row>
    <row r="678">
      <c r="I678" s="1"/>
    </row>
    <row r="679">
      <c r="I679" s="1"/>
    </row>
    <row r="680">
      <c r="I680" s="1"/>
    </row>
    <row r="681">
      <c r="I681" s="1"/>
    </row>
    <row r="682">
      <c r="I682" s="1"/>
    </row>
    <row r="683">
      <c r="I683" s="1"/>
    </row>
    <row r="684">
      <c r="I684" s="1"/>
    </row>
    <row r="685">
      <c r="I685" s="1"/>
    </row>
    <row r="686">
      <c r="I686" s="1"/>
    </row>
    <row r="687">
      <c r="I687" s="1"/>
    </row>
    <row r="688">
      <c r="I688" s="1"/>
    </row>
    <row r="689">
      <c r="I689" s="1"/>
    </row>
    <row r="690">
      <c r="I690" s="1"/>
    </row>
    <row r="691">
      <c r="I691" s="1"/>
    </row>
    <row r="692">
      <c r="I692" s="1"/>
    </row>
    <row r="693">
      <c r="I693" s="1"/>
    </row>
    <row r="694">
      <c r="I694" s="1"/>
    </row>
    <row r="695">
      <c r="I695" s="1"/>
    </row>
    <row r="696">
      <c r="I696" s="1"/>
    </row>
    <row r="697">
      <c r="I697" s="1"/>
    </row>
    <row r="698">
      <c r="I698" s="1"/>
    </row>
    <row r="699">
      <c r="I699" s="1"/>
    </row>
    <row r="700">
      <c r="I700" s="1"/>
    </row>
    <row r="701">
      <c r="I701" s="1"/>
    </row>
    <row r="702">
      <c r="I702" s="1"/>
    </row>
    <row r="703">
      <c r="I703" s="1"/>
    </row>
    <row r="704">
      <c r="I704" s="1"/>
    </row>
    <row r="705">
      <c r="I705" s="1"/>
    </row>
    <row r="706">
      <c r="I706" s="1"/>
    </row>
    <row r="707">
      <c r="I707" s="1"/>
    </row>
    <row r="708">
      <c r="I708" s="1"/>
    </row>
    <row r="709">
      <c r="I709" s="1"/>
    </row>
    <row r="710">
      <c r="I710" s="1"/>
    </row>
    <row r="711">
      <c r="I711" s="1"/>
    </row>
    <row r="712">
      <c r="I712" s="1"/>
    </row>
    <row r="713">
      <c r="I713" s="1"/>
    </row>
    <row r="714">
      <c r="I714" s="1"/>
    </row>
    <row r="715">
      <c r="I715" s="1"/>
    </row>
    <row r="716">
      <c r="I716" s="1"/>
    </row>
    <row r="717">
      <c r="I717" s="1"/>
    </row>
    <row r="718">
      <c r="I718" s="1"/>
    </row>
    <row r="719">
      <c r="I719" s="1"/>
    </row>
    <row r="720">
      <c r="I720" s="1"/>
    </row>
    <row r="721">
      <c r="I721" s="1"/>
    </row>
    <row r="722">
      <c r="I722" s="1"/>
    </row>
    <row r="723">
      <c r="I723" s="1"/>
    </row>
    <row r="724">
      <c r="I724" s="1"/>
    </row>
    <row r="725">
      <c r="I725" s="1"/>
    </row>
    <row r="726">
      <c r="I726" s="1"/>
    </row>
    <row r="727">
      <c r="I727" s="1"/>
    </row>
    <row r="728">
      <c r="I728" s="1"/>
    </row>
    <row r="729">
      <c r="I729" s="1"/>
    </row>
    <row r="730">
      <c r="I730" s="1"/>
    </row>
    <row r="731">
      <c r="I731" s="1"/>
    </row>
    <row r="732">
      <c r="I732" s="1"/>
    </row>
    <row r="733">
      <c r="I733" s="1"/>
    </row>
    <row r="734">
      <c r="I734" s="1"/>
    </row>
    <row r="735">
      <c r="I735" s="1"/>
    </row>
    <row r="736">
      <c r="I736" s="1"/>
    </row>
    <row r="737">
      <c r="I737" s="1"/>
    </row>
    <row r="738">
      <c r="I738" s="1"/>
    </row>
    <row r="739">
      <c r="I739" s="1"/>
    </row>
    <row r="740">
      <c r="I740" s="1"/>
    </row>
    <row r="741">
      <c r="I741" s="1"/>
    </row>
    <row r="742">
      <c r="I742" s="1"/>
    </row>
    <row r="743">
      <c r="I743" s="1"/>
    </row>
    <row r="744">
      <c r="I744" s="1"/>
    </row>
    <row r="745">
      <c r="I745" s="1"/>
    </row>
    <row r="746">
      <c r="I746" s="1"/>
    </row>
    <row r="747">
      <c r="I747" s="1"/>
    </row>
    <row r="748">
      <c r="I748" s="1"/>
    </row>
    <row r="749">
      <c r="I749" s="1"/>
    </row>
    <row r="750">
      <c r="I750" s="1"/>
    </row>
    <row r="751">
      <c r="I751" s="1"/>
    </row>
    <row r="752">
      <c r="I752" s="1"/>
    </row>
    <row r="753">
      <c r="I753" s="1"/>
    </row>
    <row r="754">
      <c r="I754" s="1"/>
    </row>
    <row r="755">
      <c r="I755" s="1"/>
    </row>
    <row r="756">
      <c r="I756" s="1"/>
    </row>
    <row r="757">
      <c r="I757" s="1"/>
    </row>
    <row r="758">
      <c r="I758" s="1"/>
    </row>
    <row r="759">
      <c r="I759" s="1"/>
    </row>
    <row r="760">
      <c r="I760" s="1"/>
    </row>
    <row r="761">
      <c r="I761" s="1"/>
    </row>
    <row r="762">
      <c r="I762" s="1"/>
    </row>
    <row r="763">
      <c r="I763" s="1"/>
    </row>
    <row r="764">
      <c r="I764" s="1"/>
    </row>
    <row r="765">
      <c r="I765" s="1"/>
    </row>
    <row r="766">
      <c r="I766" s="1"/>
    </row>
    <row r="767">
      <c r="I767" s="1"/>
    </row>
    <row r="768">
      <c r="I768" s="1"/>
    </row>
    <row r="769">
      <c r="I769" s="1"/>
    </row>
    <row r="770">
      <c r="I770" s="1"/>
    </row>
    <row r="771">
      <c r="I771" s="1"/>
    </row>
    <row r="772">
      <c r="I772" s="1"/>
    </row>
    <row r="773">
      <c r="I773" s="1"/>
    </row>
    <row r="774">
      <c r="I774" s="1"/>
    </row>
    <row r="775">
      <c r="I775" s="1"/>
    </row>
    <row r="776">
      <c r="I776" s="1"/>
    </row>
    <row r="777">
      <c r="I777" s="1"/>
    </row>
    <row r="778">
      <c r="I778" s="1"/>
    </row>
    <row r="779">
      <c r="I779" s="1"/>
    </row>
    <row r="780">
      <c r="I780" s="1"/>
    </row>
    <row r="781">
      <c r="I781" s="1"/>
    </row>
    <row r="782">
      <c r="I782" s="1"/>
    </row>
    <row r="783">
      <c r="I783" s="1"/>
    </row>
    <row r="784">
      <c r="I784" s="1"/>
    </row>
    <row r="785">
      <c r="I785" s="1"/>
    </row>
    <row r="786">
      <c r="I786" s="1"/>
    </row>
    <row r="787">
      <c r="I787" s="1"/>
    </row>
    <row r="788">
      <c r="I788" s="1"/>
    </row>
    <row r="789">
      <c r="I789" s="1"/>
    </row>
    <row r="790">
      <c r="I790" s="1"/>
    </row>
    <row r="791">
      <c r="I791" s="1"/>
    </row>
    <row r="792">
      <c r="I792" s="1"/>
    </row>
    <row r="793">
      <c r="I793" s="1"/>
    </row>
    <row r="794">
      <c r="I794" s="1"/>
    </row>
    <row r="795">
      <c r="I795" s="1"/>
    </row>
    <row r="796">
      <c r="I796" s="1"/>
    </row>
    <row r="797">
      <c r="I797" s="1"/>
    </row>
    <row r="798">
      <c r="I798" s="1"/>
    </row>
    <row r="799">
      <c r="I799" s="1"/>
    </row>
    <row r="800">
      <c r="I800" s="1"/>
    </row>
    <row r="801">
      <c r="I801" s="1"/>
    </row>
    <row r="802">
      <c r="I802" s="1"/>
    </row>
    <row r="803">
      <c r="I803" s="1"/>
    </row>
    <row r="804">
      <c r="I804" s="1"/>
    </row>
    <row r="805">
      <c r="I805" s="1"/>
    </row>
    <row r="806">
      <c r="I806" s="1"/>
    </row>
    <row r="807">
      <c r="I807" s="1"/>
    </row>
    <row r="808">
      <c r="I808" s="1"/>
    </row>
    <row r="809">
      <c r="I809" s="1"/>
    </row>
    <row r="810">
      <c r="I810" s="1"/>
    </row>
    <row r="811">
      <c r="I811" s="1"/>
    </row>
    <row r="812">
      <c r="I812" s="1"/>
    </row>
    <row r="813">
      <c r="I813" s="1"/>
    </row>
    <row r="814">
      <c r="I814" s="1"/>
    </row>
    <row r="815">
      <c r="I815" s="1"/>
    </row>
    <row r="816">
      <c r="I816" s="1"/>
    </row>
    <row r="817">
      <c r="I817" s="1"/>
    </row>
    <row r="818">
      <c r="I818" s="1"/>
    </row>
    <row r="819">
      <c r="I819" s="1"/>
    </row>
    <row r="820">
      <c r="I820" s="1"/>
    </row>
    <row r="821">
      <c r="I821" s="1"/>
    </row>
    <row r="822">
      <c r="I822" s="1"/>
    </row>
    <row r="823">
      <c r="I823" s="1"/>
    </row>
    <row r="824">
      <c r="I824" s="1"/>
    </row>
    <row r="825">
      <c r="I825" s="1"/>
    </row>
    <row r="826">
      <c r="I826" s="1"/>
    </row>
    <row r="827">
      <c r="I827" s="1"/>
    </row>
    <row r="828">
      <c r="I828" s="1"/>
    </row>
    <row r="829">
      <c r="I829" s="1"/>
    </row>
    <row r="830">
      <c r="I830" s="1"/>
    </row>
    <row r="831">
      <c r="I831" s="1"/>
    </row>
    <row r="832">
      <c r="I832" s="1"/>
    </row>
    <row r="833">
      <c r="I833" s="1"/>
    </row>
    <row r="834">
      <c r="I834" s="1"/>
    </row>
    <row r="835">
      <c r="I835" s="1"/>
    </row>
    <row r="836">
      <c r="I836" s="1"/>
    </row>
    <row r="837">
      <c r="I837" s="1"/>
    </row>
    <row r="838">
      <c r="I838" s="1"/>
    </row>
    <row r="839">
      <c r="I839" s="1"/>
    </row>
    <row r="840">
      <c r="I840" s="1"/>
    </row>
    <row r="841">
      <c r="I841" s="1"/>
    </row>
    <row r="842">
      <c r="I842" s="1"/>
    </row>
    <row r="843">
      <c r="I843" s="1"/>
    </row>
    <row r="844">
      <c r="I844" s="1"/>
    </row>
    <row r="845">
      <c r="I845" s="1"/>
    </row>
    <row r="846">
      <c r="I846" s="1"/>
    </row>
    <row r="847">
      <c r="I847" s="1"/>
    </row>
    <row r="848">
      <c r="I848" s="1"/>
    </row>
    <row r="849">
      <c r="I849" s="1"/>
    </row>
    <row r="850">
      <c r="I850" s="1"/>
    </row>
    <row r="851">
      <c r="I851" s="1"/>
    </row>
    <row r="852">
      <c r="I852" s="1"/>
    </row>
    <row r="853">
      <c r="I853" s="1"/>
    </row>
    <row r="854">
      <c r="I854" s="1"/>
    </row>
    <row r="855">
      <c r="I855" s="1"/>
    </row>
    <row r="856">
      <c r="I856" s="1"/>
    </row>
    <row r="857">
      <c r="I857" s="1"/>
    </row>
    <row r="858">
      <c r="I858" s="1"/>
    </row>
    <row r="859">
      <c r="I859" s="1"/>
    </row>
    <row r="860">
      <c r="I860" s="1"/>
    </row>
    <row r="861">
      <c r="I861" s="1"/>
    </row>
    <row r="862">
      <c r="I862" s="1"/>
    </row>
    <row r="863">
      <c r="I863" s="1"/>
    </row>
    <row r="864">
      <c r="I864" s="1"/>
    </row>
    <row r="865">
      <c r="I865" s="1"/>
    </row>
    <row r="866">
      <c r="I866" s="1"/>
    </row>
    <row r="867">
      <c r="I867" s="1"/>
    </row>
    <row r="868">
      <c r="I868" s="1"/>
    </row>
    <row r="869">
      <c r="I869" s="1"/>
    </row>
    <row r="870">
      <c r="I870" s="1"/>
    </row>
    <row r="871">
      <c r="I871" s="1"/>
    </row>
    <row r="872">
      <c r="I872" s="1"/>
    </row>
    <row r="873">
      <c r="I873" s="1"/>
    </row>
    <row r="874">
      <c r="I874" s="1"/>
    </row>
    <row r="875">
      <c r="I875" s="1"/>
    </row>
    <row r="876">
      <c r="I876" s="1"/>
    </row>
    <row r="877">
      <c r="I877" s="1"/>
    </row>
    <row r="878">
      <c r="I878" s="1"/>
    </row>
    <row r="879">
      <c r="I879" s="1"/>
    </row>
    <row r="880">
      <c r="I880" s="1"/>
    </row>
    <row r="881">
      <c r="I881" s="1"/>
    </row>
    <row r="882">
      <c r="I882" s="1"/>
    </row>
    <row r="883">
      <c r="I883" s="1"/>
    </row>
    <row r="884">
      <c r="I884" s="1"/>
    </row>
    <row r="885">
      <c r="I885" s="1"/>
    </row>
    <row r="886">
      <c r="I886" s="1"/>
    </row>
    <row r="887">
      <c r="I887" s="1"/>
    </row>
    <row r="888">
      <c r="I888" s="1"/>
    </row>
    <row r="889">
      <c r="I889" s="1"/>
    </row>
    <row r="890">
      <c r="I890" s="1"/>
    </row>
    <row r="891">
      <c r="I891" s="1"/>
    </row>
    <row r="892">
      <c r="I892" s="1"/>
    </row>
    <row r="893">
      <c r="I893" s="1"/>
    </row>
    <row r="894">
      <c r="I894" s="1"/>
    </row>
    <row r="895">
      <c r="I895" s="1"/>
    </row>
    <row r="896">
      <c r="I896" s="1"/>
    </row>
    <row r="897">
      <c r="I897" s="1"/>
    </row>
    <row r="898">
      <c r="I898" s="1"/>
    </row>
    <row r="899">
      <c r="I899" s="1"/>
    </row>
    <row r="900">
      <c r="I900" s="1"/>
    </row>
    <row r="901">
      <c r="I901" s="1"/>
    </row>
    <row r="902">
      <c r="I902" s="1"/>
    </row>
    <row r="903">
      <c r="I903" s="1"/>
    </row>
    <row r="904">
      <c r="I904" s="1"/>
    </row>
    <row r="905">
      <c r="I905" s="1"/>
    </row>
    <row r="906">
      <c r="I906" s="1"/>
    </row>
    <row r="907">
      <c r="I907" s="1"/>
    </row>
    <row r="908">
      <c r="I908" s="1"/>
    </row>
    <row r="909">
      <c r="I909" s="1"/>
    </row>
    <row r="910">
      <c r="I910" s="1"/>
    </row>
    <row r="911">
      <c r="I911" s="1"/>
    </row>
    <row r="912">
      <c r="I912" s="1"/>
    </row>
    <row r="913">
      <c r="I913" s="1"/>
    </row>
    <row r="914">
      <c r="I914" s="1"/>
    </row>
    <row r="915">
      <c r="I915" s="1"/>
    </row>
    <row r="916">
      <c r="I916" s="1"/>
    </row>
    <row r="917">
      <c r="I917" s="1"/>
    </row>
    <row r="918">
      <c r="I918" s="1"/>
    </row>
    <row r="919">
      <c r="I919" s="1"/>
    </row>
    <row r="920">
      <c r="I920" s="1"/>
    </row>
    <row r="921">
      <c r="I921" s="1"/>
    </row>
    <row r="922">
      <c r="I922" s="1"/>
    </row>
    <row r="923">
      <c r="I923" s="1"/>
    </row>
    <row r="924">
      <c r="I924" s="1"/>
    </row>
    <row r="925">
      <c r="I925" s="1"/>
    </row>
    <row r="926">
      <c r="I926" s="1"/>
    </row>
    <row r="927">
      <c r="I927" s="1"/>
    </row>
    <row r="928">
      <c r="I928" s="1"/>
    </row>
    <row r="929">
      <c r="I929" s="1"/>
    </row>
    <row r="930">
      <c r="I930" s="1"/>
    </row>
    <row r="931">
      <c r="I931" s="1"/>
    </row>
    <row r="932">
      <c r="I932" s="1"/>
    </row>
    <row r="933">
      <c r="I933" s="1"/>
    </row>
    <row r="934">
      <c r="I934" s="1"/>
    </row>
    <row r="935">
      <c r="I935" s="1"/>
    </row>
    <row r="936">
      <c r="I936" s="1"/>
    </row>
    <row r="937">
      <c r="I937" s="1"/>
    </row>
    <row r="938">
      <c r="I938" s="1"/>
    </row>
    <row r="939">
      <c r="I939" s="1"/>
    </row>
    <row r="940">
      <c r="I940" s="1"/>
    </row>
    <row r="941">
      <c r="I941" s="1"/>
    </row>
    <row r="942">
      <c r="I942" s="1"/>
    </row>
    <row r="943">
      <c r="I943" s="1"/>
    </row>
    <row r="944">
      <c r="I944" s="1"/>
    </row>
    <row r="945">
      <c r="I945" s="1"/>
    </row>
    <row r="946">
      <c r="I946" s="1"/>
    </row>
    <row r="947">
      <c r="I947" s="1"/>
    </row>
    <row r="948">
      <c r="I948" s="1"/>
    </row>
    <row r="949">
      <c r="I949" s="1"/>
    </row>
    <row r="950">
      <c r="I950" s="1"/>
    </row>
    <row r="951">
      <c r="I951" s="1"/>
    </row>
    <row r="952">
      <c r="I952" s="1"/>
    </row>
    <row r="953">
      <c r="I953" s="1"/>
    </row>
    <row r="954">
      <c r="I954" s="1"/>
    </row>
    <row r="955">
      <c r="I955" s="1"/>
    </row>
    <row r="956">
      <c r="I956" s="1"/>
    </row>
    <row r="957">
      <c r="I957" s="1"/>
    </row>
    <row r="958">
      <c r="I958" s="1"/>
    </row>
    <row r="959">
      <c r="I959" s="1"/>
    </row>
    <row r="960">
      <c r="I960" s="1"/>
    </row>
    <row r="961">
      <c r="I961" s="1"/>
    </row>
    <row r="962">
      <c r="I962" s="1"/>
    </row>
    <row r="963">
      <c r="I963" s="1"/>
    </row>
    <row r="964">
      <c r="I964" s="1"/>
    </row>
    <row r="965">
      <c r="I965" s="1"/>
    </row>
    <row r="966">
      <c r="I966" s="1"/>
    </row>
    <row r="967">
      <c r="I967" s="1"/>
    </row>
    <row r="968">
      <c r="I968" s="1"/>
    </row>
    <row r="969">
      <c r="I969" s="1"/>
    </row>
    <row r="970">
      <c r="I970" s="1"/>
    </row>
    <row r="971">
      <c r="I971" s="1"/>
    </row>
    <row r="972">
      <c r="I972" s="1"/>
    </row>
    <row r="973">
      <c r="I973" s="1"/>
    </row>
    <row r="974">
      <c r="I974" s="1"/>
    </row>
    <row r="975">
      <c r="I975" s="1"/>
    </row>
    <row r="976">
      <c r="I976" s="1"/>
    </row>
    <row r="977">
      <c r="I977" s="1"/>
    </row>
    <row r="978">
      <c r="I978" s="1"/>
    </row>
    <row r="979">
      <c r="I979" s="1"/>
    </row>
    <row r="980">
      <c r="I980" s="1"/>
    </row>
    <row r="981">
      <c r="I981" s="1"/>
    </row>
    <row r="982">
      <c r="I982" s="1"/>
    </row>
    <row r="983">
      <c r="I983" s="1"/>
    </row>
    <row r="984">
      <c r="I984" s="1"/>
    </row>
    <row r="985">
      <c r="I985" s="1"/>
    </row>
    <row r="986">
      <c r="I986" s="1"/>
    </row>
    <row r="987">
      <c r="I987" s="1"/>
    </row>
    <row r="988">
      <c r="I988" s="1"/>
    </row>
    <row r="989">
      <c r="I989" s="1"/>
    </row>
    <row r="990">
      <c r="I990" s="1"/>
    </row>
    <row r="991">
      <c r="I991" s="1"/>
    </row>
    <row r="992">
      <c r="I992" s="1"/>
    </row>
    <row r="993">
      <c r="I993" s="1"/>
    </row>
    <row r="994">
      <c r="I994" s="1"/>
    </row>
    <row r="995">
      <c r="I995" s="1"/>
    </row>
    <row r="996">
      <c r="I996" s="1"/>
    </row>
    <row r="997">
      <c r="I997" s="1"/>
    </row>
    <row r="998">
      <c r="I998" s="1"/>
    </row>
  </sheetData>
  <mergeCells count="12">
    <mergeCell ref="B9:D9"/>
    <mergeCell ref="B10:D10"/>
    <mergeCell ref="B12:D12"/>
    <mergeCell ref="B22:D22"/>
    <mergeCell ref="F28:I28"/>
    <mergeCell ref="B2:D2"/>
    <mergeCell ref="B3:D3"/>
    <mergeCell ref="B4:D4"/>
    <mergeCell ref="B5:D5"/>
    <mergeCell ref="B6:D6"/>
    <mergeCell ref="B7:D7"/>
    <mergeCell ref="B8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12.88"/>
    <col customWidth="1" min="3" max="3" width="8.63"/>
    <col customWidth="1" min="4" max="4" width="10.25"/>
    <col customWidth="1" min="5" max="6" width="24.75"/>
    <col customWidth="1" min="7" max="7" width="9.75"/>
    <col customWidth="1" min="8" max="8" width="8.63"/>
    <col customWidth="1" min="9" max="9" width="10.5"/>
    <col customWidth="1" min="10" max="10" width="8.63"/>
    <col customWidth="1" min="11" max="11" width="29.38"/>
    <col customWidth="1" min="12" max="12" width="12.13"/>
    <col customWidth="1" min="13" max="13" width="9.75"/>
    <col customWidth="1" min="14" max="14" width="19.38"/>
    <col customWidth="1" min="15" max="27" width="8.63"/>
  </cols>
  <sheetData>
    <row r="1" ht="12.75" customHeight="1">
      <c r="B1" s="24"/>
      <c r="G1" s="25"/>
    </row>
    <row r="2" ht="12.75" customHeight="1">
      <c r="A2" s="26" t="s">
        <v>72</v>
      </c>
      <c r="B2" s="3"/>
      <c r="C2" s="3"/>
      <c r="D2" s="3"/>
      <c r="E2" s="3"/>
      <c r="F2" s="3"/>
      <c r="G2" s="4"/>
      <c r="I2" s="11" t="s">
        <v>73</v>
      </c>
    </row>
    <row r="3" ht="12.75" customHeight="1">
      <c r="B3" s="24"/>
      <c r="G3" s="25"/>
    </row>
    <row r="4" ht="12.75" customHeight="1">
      <c r="A4" s="27" t="s">
        <v>74</v>
      </c>
      <c r="B4" s="4"/>
      <c r="C4" s="28"/>
      <c r="D4" s="29"/>
      <c r="E4" s="27" t="s">
        <v>75</v>
      </c>
      <c r="F4" s="3"/>
      <c r="G4" s="4"/>
    </row>
    <row r="5" ht="12.75" customHeight="1">
      <c r="B5" s="24"/>
      <c r="G5" s="25"/>
      <c r="R5" s="13" t="s">
        <v>54</v>
      </c>
      <c r="S5" s="3"/>
      <c r="T5" s="3"/>
      <c r="U5" s="4"/>
    </row>
    <row r="6" ht="12.75" customHeight="1">
      <c r="A6" s="30">
        <v>45748.0</v>
      </c>
      <c r="B6" s="4"/>
      <c r="C6" s="28"/>
      <c r="D6" s="31"/>
      <c r="E6" s="30">
        <v>45748.0</v>
      </c>
      <c r="F6" s="3"/>
      <c r="G6" s="4"/>
      <c r="I6" s="31">
        <v>45748.0</v>
      </c>
      <c r="R6" s="15" t="s">
        <v>18</v>
      </c>
      <c r="S6" s="15" t="s">
        <v>55</v>
      </c>
      <c r="T6" s="15" t="s">
        <v>56</v>
      </c>
      <c r="U6" s="15" t="s">
        <v>57</v>
      </c>
    </row>
    <row r="7" ht="12.75" customHeight="1">
      <c r="A7" s="32" t="s">
        <v>76</v>
      </c>
      <c r="B7" s="33" t="s">
        <v>77</v>
      </c>
      <c r="C7" s="34"/>
      <c r="D7" s="35" t="s">
        <v>78</v>
      </c>
      <c r="E7" s="32" t="s">
        <v>76</v>
      </c>
      <c r="F7" s="32"/>
      <c r="G7" s="33" t="s">
        <v>79</v>
      </c>
      <c r="I7" s="36" t="s">
        <v>80</v>
      </c>
      <c r="R7" s="16" t="s">
        <v>58</v>
      </c>
      <c r="S7" s="20">
        <v>1.0</v>
      </c>
      <c r="T7" s="21" t="s">
        <v>59</v>
      </c>
      <c r="U7" s="37" t="s">
        <v>60</v>
      </c>
    </row>
    <row r="8" ht="12.75" customHeight="1">
      <c r="A8" s="28" t="s">
        <v>81</v>
      </c>
      <c r="B8" s="38">
        <v>590.0</v>
      </c>
      <c r="C8" s="28"/>
      <c r="D8" s="39">
        <v>45748.0</v>
      </c>
      <c r="E8" s="40" t="s">
        <v>82</v>
      </c>
      <c r="F8" s="41"/>
      <c r="G8" s="42">
        <v>127300.0</v>
      </c>
      <c r="I8" s="43"/>
      <c r="R8" s="16" t="s">
        <v>61</v>
      </c>
      <c r="S8" s="20">
        <v>0.45</v>
      </c>
      <c r="T8" s="21" t="s">
        <v>62</v>
      </c>
      <c r="U8" s="37" t="s">
        <v>63</v>
      </c>
    </row>
    <row r="9" ht="12.75" customHeight="1">
      <c r="A9" s="28" t="s">
        <v>83</v>
      </c>
      <c r="B9" s="38">
        <v>164804.0</v>
      </c>
      <c r="C9" s="28"/>
      <c r="D9" s="39">
        <v>45758.0</v>
      </c>
      <c r="E9" s="41" t="s">
        <v>84</v>
      </c>
      <c r="F9" s="41"/>
      <c r="G9" s="42">
        <v>199244.0</v>
      </c>
      <c r="I9" s="43"/>
      <c r="R9" s="16" t="s">
        <v>64</v>
      </c>
      <c r="S9" s="20">
        <v>0.2</v>
      </c>
      <c r="T9" s="23">
        <v>90821.0</v>
      </c>
      <c r="U9" s="37" t="s">
        <v>65</v>
      </c>
    </row>
    <row r="10" ht="12.75" customHeight="1">
      <c r="A10" s="28" t="s">
        <v>85</v>
      </c>
      <c r="B10" s="38">
        <v>1284.0</v>
      </c>
      <c r="C10" s="28"/>
      <c r="D10" s="39">
        <v>45764.0</v>
      </c>
      <c r="E10" s="40" t="s">
        <v>82</v>
      </c>
      <c r="F10" s="41"/>
      <c r="G10" s="42">
        <v>127560.0</v>
      </c>
      <c r="I10" s="43"/>
      <c r="R10" s="16" t="s">
        <v>66</v>
      </c>
      <c r="S10" s="20">
        <v>0.1</v>
      </c>
      <c r="T10" s="23">
        <v>45410.0</v>
      </c>
      <c r="U10" s="37" t="s">
        <v>67</v>
      </c>
    </row>
    <row r="11" ht="12.75" customHeight="1">
      <c r="A11" s="28" t="s">
        <v>86</v>
      </c>
      <c r="B11" s="38">
        <v>43910.0</v>
      </c>
      <c r="C11" s="28"/>
      <c r="D11" s="28"/>
      <c r="E11" s="28"/>
      <c r="F11" s="28"/>
      <c r="G11" s="44"/>
      <c r="I11" s="43"/>
      <c r="R11" s="16" t="s">
        <v>68</v>
      </c>
      <c r="S11" s="20">
        <v>0.1</v>
      </c>
      <c r="T11" s="23">
        <v>45410.0</v>
      </c>
      <c r="U11" s="37" t="s">
        <v>69</v>
      </c>
    </row>
    <row r="12" ht="12.75" customHeight="1">
      <c r="A12" s="28" t="s">
        <v>87</v>
      </c>
      <c r="B12" s="38">
        <v>10567.0</v>
      </c>
      <c r="C12" s="28"/>
      <c r="D12" s="28"/>
      <c r="E12" s="28"/>
      <c r="F12" s="28"/>
      <c r="G12" s="44"/>
      <c r="I12" s="43"/>
      <c r="R12" s="16" t="s">
        <v>70</v>
      </c>
      <c r="S12" s="20">
        <v>0.15</v>
      </c>
      <c r="T12" s="23">
        <v>68116.0</v>
      </c>
      <c r="U12" s="37" t="s">
        <v>71</v>
      </c>
    </row>
    <row r="13" ht="12.75" customHeight="1">
      <c r="A13" s="28" t="s">
        <v>88</v>
      </c>
      <c r="B13" s="38">
        <v>7553.18</v>
      </c>
      <c r="C13" s="28"/>
      <c r="D13" s="28"/>
      <c r="E13" s="28"/>
      <c r="F13" s="28"/>
      <c r="G13" s="44"/>
      <c r="I13" s="43"/>
    </row>
    <row r="14" ht="12.75" customHeight="1">
      <c r="A14" s="28" t="s">
        <v>89</v>
      </c>
      <c r="B14" s="38">
        <v>5000.0</v>
      </c>
      <c r="C14" s="28"/>
      <c r="D14" s="28"/>
      <c r="E14" s="28"/>
      <c r="F14" s="28"/>
      <c r="G14" s="44"/>
      <c r="I14" s="43"/>
    </row>
    <row r="15" ht="12.75" customHeight="1">
      <c r="A15" s="28" t="s">
        <v>90</v>
      </c>
      <c r="B15" s="38">
        <v>170.0</v>
      </c>
      <c r="C15" s="28"/>
      <c r="D15" s="28"/>
      <c r="E15" s="28"/>
      <c r="F15" s="28"/>
      <c r="G15" s="44"/>
      <c r="I15" s="43"/>
    </row>
    <row r="16" ht="12.75" customHeight="1">
      <c r="A16" s="28" t="s">
        <v>91</v>
      </c>
      <c r="B16" s="38">
        <v>18875.0</v>
      </c>
      <c r="C16" s="28"/>
      <c r="D16" s="28"/>
      <c r="E16" s="28"/>
      <c r="F16" s="28"/>
      <c r="G16" s="44"/>
      <c r="I16" s="43"/>
    </row>
    <row r="17" ht="12.75" customHeight="1">
      <c r="A17" s="28" t="s">
        <v>92</v>
      </c>
      <c r="B17" s="38">
        <v>3308.0</v>
      </c>
      <c r="C17" s="28"/>
      <c r="D17" s="28"/>
      <c r="E17" s="28"/>
      <c r="F17" s="28"/>
      <c r="G17" s="44"/>
      <c r="I17" s="43"/>
    </row>
    <row r="18" ht="12.75" customHeight="1">
      <c r="A18" s="28" t="s">
        <v>93</v>
      </c>
      <c r="B18" s="38">
        <v>18340.0</v>
      </c>
      <c r="C18" s="28"/>
      <c r="D18" s="28"/>
      <c r="E18" s="28"/>
      <c r="F18" s="28"/>
      <c r="G18" s="44"/>
      <c r="I18" s="43"/>
    </row>
    <row r="19" ht="12.75" customHeight="1">
      <c r="A19" s="28" t="s">
        <v>94</v>
      </c>
      <c r="B19" s="38">
        <v>2006.0</v>
      </c>
      <c r="C19" s="28"/>
      <c r="D19" s="28"/>
      <c r="E19" s="28"/>
      <c r="F19" s="28"/>
      <c r="G19" s="44"/>
      <c r="I19" s="43"/>
    </row>
    <row r="20" ht="12.75" customHeight="1">
      <c r="A20" s="28" t="s">
        <v>95</v>
      </c>
      <c r="B20" s="38">
        <v>1300.0</v>
      </c>
      <c r="C20" s="28"/>
      <c r="D20" s="28"/>
      <c r="E20" s="28"/>
      <c r="F20" s="28"/>
      <c r="G20" s="44"/>
      <c r="I20" s="43"/>
    </row>
    <row r="21" ht="12.75" customHeight="1">
      <c r="A21" s="28" t="s">
        <v>96</v>
      </c>
      <c r="B21" s="38">
        <v>183412.0</v>
      </c>
      <c r="C21" s="28"/>
      <c r="D21" s="28"/>
      <c r="E21" s="28"/>
      <c r="F21" s="28"/>
      <c r="G21" s="44"/>
      <c r="I21" s="43"/>
    </row>
    <row r="22" ht="12.75" customHeight="1">
      <c r="A22" s="28" t="s">
        <v>97</v>
      </c>
      <c r="B22" s="38">
        <v>1208.17</v>
      </c>
      <c r="C22" s="28"/>
      <c r="D22" s="28"/>
      <c r="E22" s="28"/>
      <c r="F22" s="28"/>
      <c r="G22" s="44"/>
      <c r="I22" s="43"/>
    </row>
    <row r="23" ht="12.75" customHeight="1">
      <c r="A23" s="28" t="s">
        <v>98</v>
      </c>
      <c r="B23" s="38">
        <v>61195.0</v>
      </c>
      <c r="C23" s="28"/>
      <c r="D23" s="28"/>
      <c r="E23" s="28"/>
      <c r="F23" s="28"/>
      <c r="G23" s="44"/>
      <c r="I23" s="43"/>
    </row>
    <row r="24" ht="12.75" customHeight="1">
      <c r="A24" s="28" t="s">
        <v>99</v>
      </c>
      <c r="B24" s="38">
        <v>11180.0</v>
      </c>
      <c r="C24" s="28"/>
      <c r="D24" s="28"/>
      <c r="E24" s="28"/>
      <c r="F24" s="28"/>
      <c r="G24" s="44"/>
      <c r="I24" s="43"/>
    </row>
    <row r="25" ht="12.75" customHeight="1">
      <c r="A25" s="28" t="s">
        <v>100</v>
      </c>
      <c r="B25" s="38">
        <v>682.6999999999999</v>
      </c>
      <c r="C25" s="28"/>
      <c r="D25" s="28"/>
      <c r="E25" s="28"/>
      <c r="F25" s="28"/>
      <c r="G25" s="44"/>
      <c r="I25" s="43"/>
    </row>
    <row r="26" ht="12.75" customHeight="1">
      <c r="A26" s="45" t="s">
        <v>101</v>
      </c>
      <c r="B26" s="33">
        <f>SUM(B7:B25)</f>
        <v>535385.05</v>
      </c>
      <c r="C26" s="46"/>
      <c r="D26" s="45"/>
      <c r="E26" s="45" t="s">
        <v>101</v>
      </c>
      <c r="F26" s="45"/>
      <c r="G26" s="33">
        <f>SUM(G8:G25)</f>
        <v>454104</v>
      </c>
      <c r="I26" s="47">
        <f>G26-B26</f>
        <v>-81281.05</v>
      </c>
    </row>
    <row r="27" ht="12.75" customHeight="1"/>
    <row r="28" ht="12.75" customHeight="1">
      <c r="A28" s="30">
        <v>45778.0</v>
      </c>
      <c r="B28" s="4"/>
      <c r="C28" s="28"/>
      <c r="D28" s="31"/>
      <c r="E28" s="30">
        <v>45778.0</v>
      </c>
      <c r="F28" s="3"/>
      <c r="G28" s="4"/>
      <c r="I28" s="31">
        <f>E28</f>
        <v>45778</v>
      </c>
    </row>
    <row r="29" ht="12.75" customHeight="1">
      <c r="A29" s="32" t="s">
        <v>76</v>
      </c>
      <c r="B29" s="33" t="s">
        <v>77</v>
      </c>
      <c r="C29" s="34"/>
      <c r="D29" s="35" t="s">
        <v>78</v>
      </c>
      <c r="E29" s="32" t="s">
        <v>76</v>
      </c>
      <c r="F29" s="32"/>
      <c r="G29" s="33" t="s">
        <v>79</v>
      </c>
      <c r="I29" s="36" t="s">
        <v>80</v>
      </c>
    </row>
    <row r="30" ht="12.75" customHeight="1">
      <c r="A30" s="28" t="s">
        <v>102</v>
      </c>
      <c r="B30" s="38">
        <v>10000.0</v>
      </c>
      <c r="C30" s="28"/>
      <c r="D30" s="48">
        <v>45806.0</v>
      </c>
      <c r="E30" s="28" t="s">
        <v>103</v>
      </c>
      <c r="F30" s="28"/>
      <c r="G30" s="44">
        <v>4500.0</v>
      </c>
      <c r="I30" s="43"/>
    </row>
    <row r="31" ht="12.75" customHeight="1">
      <c r="A31" s="28" t="s">
        <v>104</v>
      </c>
      <c r="B31" s="38">
        <v>39.5</v>
      </c>
      <c r="C31" s="28"/>
      <c r="D31" s="48">
        <v>45791.0</v>
      </c>
      <c r="E31" s="28" t="s">
        <v>105</v>
      </c>
      <c r="F31" s="28"/>
      <c r="G31" s="44">
        <v>10.0</v>
      </c>
      <c r="I31" s="43"/>
    </row>
    <row r="32" ht="12.75" customHeight="1">
      <c r="A32" s="28" t="s">
        <v>83</v>
      </c>
      <c r="B32" s="38">
        <v>164804.0</v>
      </c>
      <c r="C32" s="28"/>
      <c r="D32" s="39">
        <v>45779.0</v>
      </c>
      <c r="E32" s="40" t="s">
        <v>82</v>
      </c>
      <c r="F32" s="41"/>
      <c r="G32" s="42">
        <v>126031.0</v>
      </c>
      <c r="I32" s="43"/>
    </row>
    <row r="33" ht="12.75" customHeight="1">
      <c r="A33" s="28" t="s">
        <v>86</v>
      </c>
      <c r="B33" s="38">
        <v>43237.0</v>
      </c>
      <c r="C33" s="28"/>
      <c r="D33" s="39">
        <v>45789.0</v>
      </c>
      <c r="E33" s="41" t="s">
        <v>84</v>
      </c>
      <c r="F33" s="41"/>
      <c r="G33" s="42">
        <v>187922.0</v>
      </c>
      <c r="I33" s="43"/>
    </row>
    <row r="34" ht="12.75" customHeight="1">
      <c r="A34" s="28" t="s">
        <v>87</v>
      </c>
      <c r="B34" s="38">
        <v>11200.0</v>
      </c>
      <c r="C34" s="28"/>
      <c r="D34" s="39">
        <v>45794.0</v>
      </c>
      <c r="E34" s="40" t="s">
        <v>82</v>
      </c>
      <c r="F34" s="41"/>
      <c r="G34" s="42">
        <v>127491.0</v>
      </c>
      <c r="I34" s="43"/>
    </row>
    <row r="35" ht="12.75" customHeight="1">
      <c r="A35" s="28" t="s">
        <v>106</v>
      </c>
      <c r="B35" s="38">
        <v>6844.0</v>
      </c>
      <c r="C35" s="28"/>
      <c r="D35" s="28"/>
      <c r="E35" s="28"/>
      <c r="F35" s="28"/>
      <c r="G35" s="44"/>
      <c r="I35" s="43"/>
    </row>
    <row r="36" ht="12.75" customHeight="1">
      <c r="A36" s="28" t="s">
        <v>91</v>
      </c>
      <c r="B36" s="38">
        <v>27750.0</v>
      </c>
      <c r="C36" s="28"/>
      <c r="D36" s="28"/>
      <c r="E36" s="28"/>
      <c r="F36" s="28"/>
      <c r="G36" s="44"/>
      <c r="I36" s="43"/>
    </row>
    <row r="37" ht="12.75" customHeight="1">
      <c r="A37" s="28" t="s">
        <v>92</v>
      </c>
      <c r="B37" s="38">
        <v>3308.0</v>
      </c>
      <c r="C37" s="28"/>
      <c r="D37" s="28"/>
      <c r="E37" s="28"/>
      <c r="F37" s="28"/>
      <c r="G37" s="44"/>
      <c r="I37" s="43"/>
    </row>
    <row r="38" ht="12.75" customHeight="1">
      <c r="A38" s="28" t="s">
        <v>107</v>
      </c>
      <c r="B38" s="38">
        <v>3009.0</v>
      </c>
      <c r="C38" s="28"/>
      <c r="D38" s="28"/>
      <c r="E38" s="28"/>
      <c r="F38" s="28"/>
      <c r="G38" s="44"/>
      <c r="I38" s="43"/>
    </row>
    <row r="39" ht="12.75" customHeight="1">
      <c r="A39" s="28" t="s">
        <v>96</v>
      </c>
      <c r="B39" s="38">
        <v>174793.0</v>
      </c>
      <c r="C39" s="28"/>
      <c r="D39" s="28"/>
      <c r="E39" s="28"/>
      <c r="F39" s="28"/>
      <c r="G39" s="44"/>
      <c r="I39" s="43"/>
    </row>
    <row r="40" ht="12.75" customHeight="1">
      <c r="A40" s="28" t="s">
        <v>97</v>
      </c>
      <c r="B40" s="38">
        <v>2277.4</v>
      </c>
      <c r="C40" s="28"/>
      <c r="D40" s="28"/>
      <c r="E40" s="28"/>
      <c r="F40" s="28"/>
      <c r="G40" s="44"/>
      <c r="I40" s="43"/>
    </row>
    <row r="41" ht="12.75" customHeight="1">
      <c r="A41" s="28" t="s">
        <v>98</v>
      </c>
      <c r="B41" s="38">
        <v>14000.0</v>
      </c>
      <c r="C41" s="28"/>
      <c r="D41" s="28"/>
      <c r="E41" s="28"/>
      <c r="F41" s="28"/>
      <c r="G41" s="44"/>
      <c r="I41" s="43"/>
    </row>
    <row r="42" ht="12.75" customHeight="1">
      <c r="A42" s="28" t="s">
        <v>100</v>
      </c>
      <c r="B42" s="38">
        <v>1320.5</v>
      </c>
      <c r="C42" s="28"/>
      <c r="D42" s="28"/>
      <c r="E42" s="28"/>
      <c r="F42" s="28"/>
      <c r="G42" s="44"/>
      <c r="I42" s="43"/>
    </row>
    <row r="43" ht="12.75" customHeight="1">
      <c r="A43" s="28" t="s">
        <v>108</v>
      </c>
      <c r="B43" s="38">
        <v>1300.0</v>
      </c>
      <c r="C43" s="28"/>
      <c r="D43" s="28"/>
      <c r="E43" s="28"/>
      <c r="F43" s="28"/>
      <c r="G43" s="44"/>
      <c r="I43" s="43"/>
    </row>
    <row r="44" ht="12.75" customHeight="1">
      <c r="A44" s="45" t="s">
        <v>101</v>
      </c>
      <c r="B44" s="49">
        <f>SUM(B30:B43)</f>
        <v>463882.4</v>
      </c>
      <c r="C44" s="28"/>
      <c r="D44" s="45"/>
      <c r="E44" s="45" t="s">
        <v>101</v>
      </c>
      <c r="F44" s="45"/>
      <c r="G44" s="50">
        <f>SUM(G30:G43)</f>
        <v>445954</v>
      </c>
      <c r="I44" s="47">
        <f>G44-B44</f>
        <v>-17928.4</v>
      </c>
    </row>
    <row r="45" ht="12.75" customHeight="1">
      <c r="A45" s="28"/>
      <c r="B45" s="38"/>
      <c r="C45" s="28"/>
      <c r="D45" s="28"/>
      <c r="E45" s="28"/>
      <c r="F45" s="28"/>
      <c r="G45" s="44"/>
    </row>
    <row r="46" ht="12.75" customHeight="1">
      <c r="A46" s="30">
        <v>45809.0</v>
      </c>
      <c r="B46" s="4"/>
      <c r="C46" s="28"/>
      <c r="D46" s="31"/>
      <c r="E46" s="30">
        <v>45809.0</v>
      </c>
      <c r="F46" s="3"/>
      <c r="G46" s="4"/>
      <c r="I46" s="31">
        <f>E46</f>
        <v>45809</v>
      </c>
    </row>
    <row r="47" ht="12.75" customHeight="1">
      <c r="A47" s="32" t="s">
        <v>76</v>
      </c>
      <c r="B47" s="33" t="s">
        <v>77</v>
      </c>
      <c r="C47" s="34"/>
      <c r="D47" s="35" t="s">
        <v>78</v>
      </c>
      <c r="E47" s="32" t="s">
        <v>76</v>
      </c>
      <c r="F47" s="32"/>
      <c r="G47" s="33" t="s">
        <v>79</v>
      </c>
      <c r="I47" s="36" t="str">
        <f>I29</f>
        <v>Loss</v>
      </c>
    </row>
    <row r="48" ht="12.75" customHeight="1">
      <c r="A48" s="28" t="s">
        <v>81</v>
      </c>
      <c r="B48" s="38">
        <v>300.0</v>
      </c>
      <c r="C48" s="28"/>
      <c r="D48" s="39">
        <v>45810.0</v>
      </c>
      <c r="E48" s="41" t="s">
        <v>109</v>
      </c>
      <c r="F48" s="41"/>
      <c r="G48" s="42">
        <v>21921.0</v>
      </c>
      <c r="I48" s="43"/>
    </row>
    <row r="49" ht="12.75" customHeight="1">
      <c r="A49" s="28" t="s">
        <v>104</v>
      </c>
      <c r="B49" s="38">
        <v>15.1</v>
      </c>
      <c r="C49" s="28"/>
      <c r="D49" s="39">
        <v>45810.0</v>
      </c>
      <c r="E49" s="41" t="s">
        <v>110</v>
      </c>
      <c r="F49" s="41"/>
      <c r="G49" s="42">
        <v>60470.0</v>
      </c>
      <c r="I49" s="43"/>
    </row>
    <row r="50" ht="12.75" customHeight="1">
      <c r="A50" s="28" t="s">
        <v>111</v>
      </c>
      <c r="B50" s="38">
        <v>23.6</v>
      </c>
      <c r="C50" s="28"/>
      <c r="D50" s="39">
        <v>45811.0</v>
      </c>
      <c r="E50" s="40" t="s">
        <v>82</v>
      </c>
      <c r="F50" s="41"/>
      <c r="G50" s="42">
        <v>127191.0</v>
      </c>
      <c r="I50" s="43"/>
    </row>
    <row r="51" ht="12.75" customHeight="1">
      <c r="A51" s="28" t="s">
        <v>83</v>
      </c>
      <c r="B51" s="38">
        <v>168834.0</v>
      </c>
      <c r="C51" s="28"/>
      <c r="D51" s="39">
        <v>45824.0</v>
      </c>
      <c r="E51" s="41" t="s">
        <v>110</v>
      </c>
      <c r="F51" s="41"/>
      <c r="G51" s="42">
        <v>112496.0</v>
      </c>
      <c r="I51" s="43"/>
    </row>
    <row r="52" ht="12.75" customHeight="1">
      <c r="A52" s="28" t="s">
        <v>86</v>
      </c>
      <c r="B52" s="38">
        <v>41100.0</v>
      </c>
      <c r="C52" s="28"/>
      <c r="D52" s="39">
        <v>45825.0</v>
      </c>
      <c r="E52" s="40" t="s">
        <v>82</v>
      </c>
      <c r="F52" s="41"/>
      <c r="G52" s="42">
        <v>127870.0</v>
      </c>
      <c r="I52" s="43"/>
    </row>
    <row r="53" ht="12.75" customHeight="1">
      <c r="A53" s="28" t="s">
        <v>87</v>
      </c>
      <c r="B53" s="38">
        <v>14035.0</v>
      </c>
      <c r="C53" s="28"/>
      <c r="D53" s="39">
        <v>45838.0</v>
      </c>
      <c r="E53" s="41" t="s">
        <v>112</v>
      </c>
      <c r="F53" s="41"/>
      <c r="G53" s="42">
        <v>8850.0</v>
      </c>
      <c r="I53" s="43"/>
    </row>
    <row r="54" ht="12.75" customHeight="1">
      <c r="A54" s="28" t="s">
        <v>106</v>
      </c>
      <c r="B54" s="38">
        <v>7100.0</v>
      </c>
      <c r="C54" s="28"/>
      <c r="D54" s="39">
        <v>45847.0</v>
      </c>
      <c r="E54" s="41" t="s">
        <v>113</v>
      </c>
      <c r="F54" s="41"/>
      <c r="G54" s="42">
        <v>8850.0</v>
      </c>
      <c r="I54" s="43"/>
    </row>
    <row r="55" ht="12.75" customHeight="1">
      <c r="A55" s="28" t="s">
        <v>114</v>
      </c>
      <c r="B55" s="38">
        <v>2000.0</v>
      </c>
      <c r="C55" s="28"/>
      <c r="D55" s="28"/>
      <c r="E55" s="28"/>
      <c r="F55" s="28"/>
      <c r="G55" s="44"/>
      <c r="I55" s="43"/>
    </row>
    <row r="56" ht="12.75" customHeight="1">
      <c r="A56" s="28" t="s">
        <v>88</v>
      </c>
      <c r="B56" s="38">
        <v>588.82</v>
      </c>
      <c r="C56" s="28"/>
      <c r="D56" s="28"/>
      <c r="E56" s="28"/>
      <c r="F56" s="28"/>
      <c r="G56" s="44"/>
      <c r="I56" s="43"/>
    </row>
    <row r="57" ht="12.75" customHeight="1">
      <c r="A57" s="28" t="s">
        <v>89</v>
      </c>
      <c r="B57" s="38">
        <v>500.0</v>
      </c>
      <c r="C57" s="28"/>
      <c r="D57" s="28"/>
      <c r="E57" s="28"/>
      <c r="F57" s="28"/>
      <c r="G57" s="44"/>
      <c r="I57" s="43"/>
    </row>
    <row r="58" ht="12.75" customHeight="1">
      <c r="A58" s="28" t="s">
        <v>90</v>
      </c>
      <c r="B58" s="38">
        <v>2274.0</v>
      </c>
      <c r="C58" s="28"/>
      <c r="D58" s="28"/>
      <c r="E58" s="28"/>
      <c r="F58" s="28"/>
      <c r="G58" s="44"/>
      <c r="I58" s="43"/>
    </row>
    <row r="59" ht="12.75" customHeight="1">
      <c r="A59" s="28" t="s">
        <v>91</v>
      </c>
      <c r="B59" s="38">
        <v>18875.0</v>
      </c>
      <c r="C59" s="28"/>
      <c r="D59" s="28"/>
      <c r="E59" s="28"/>
      <c r="F59" s="28"/>
      <c r="G59" s="44"/>
      <c r="I59" s="43"/>
    </row>
    <row r="60" ht="12.75" customHeight="1">
      <c r="A60" s="28" t="s">
        <v>92</v>
      </c>
      <c r="B60" s="38">
        <v>13308.0</v>
      </c>
      <c r="C60" s="28"/>
      <c r="D60" s="28"/>
      <c r="E60" s="28"/>
      <c r="F60" s="28"/>
      <c r="G60" s="44"/>
      <c r="I60" s="43"/>
    </row>
    <row r="61" ht="12.75" customHeight="1">
      <c r="A61" s="28" t="s">
        <v>94</v>
      </c>
      <c r="B61" s="38">
        <v>3009.0</v>
      </c>
      <c r="C61" s="28"/>
      <c r="D61" s="28"/>
      <c r="E61" s="28"/>
      <c r="F61" s="28"/>
      <c r="G61" s="44"/>
      <c r="I61" s="43"/>
    </row>
    <row r="62" ht="12.75" customHeight="1">
      <c r="A62" s="28" t="s">
        <v>96</v>
      </c>
      <c r="B62" s="38">
        <v>153526.0</v>
      </c>
      <c r="C62" s="28"/>
      <c r="D62" s="28"/>
      <c r="E62" s="28"/>
      <c r="F62" s="28"/>
      <c r="G62" s="44"/>
      <c r="I62" s="43"/>
    </row>
    <row r="63" ht="12.75" customHeight="1">
      <c r="A63" s="28" t="s">
        <v>97</v>
      </c>
      <c r="B63" s="38">
        <v>2277.4</v>
      </c>
      <c r="C63" s="28"/>
      <c r="D63" s="28"/>
      <c r="E63" s="28"/>
      <c r="F63" s="28"/>
      <c r="G63" s="44"/>
      <c r="I63" s="43"/>
    </row>
    <row r="64" ht="12.75" customHeight="1">
      <c r="A64" s="28" t="s">
        <v>98</v>
      </c>
      <c r="B64" s="38">
        <v>85717.0</v>
      </c>
      <c r="C64" s="28"/>
      <c r="D64" s="28"/>
      <c r="E64" s="28"/>
      <c r="F64" s="28"/>
      <c r="G64" s="44"/>
      <c r="I64" s="43"/>
    </row>
    <row r="65" ht="12.75" customHeight="1">
      <c r="A65" s="28" t="s">
        <v>100</v>
      </c>
      <c r="B65" s="38">
        <v>782.6999999999999</v>
      </c>
      <c r="C65" s="28"/>
      <c r="D65" s="28"/>
      <c r="E65" s="28"/>
      <c r="F65" s="28"/>
      <c r="G65" s="44"/>
      <c r="I65" s="43"/>
    </row>
    <row r="66" ht="12.75" customHeight="1">
      <c r="A66" s="28" t="s">
        <v>108</v>
      </c>
      <c r="B66" s="38">
        <v>1000.0</v>
      </c>
      <c r="C66" s="28"/>
      <c r="D66" s="28"/>
      <c r="E66" s="28"/>
      <c r="F66" s="28"/>
      <c r="G66" s="44"/>
      <c r="I66" s="43"/>
    </row>
    <row r="67" ht="12.75" customHeight="1">
      <c r="A67" s="45" t="s">
        <v>101</v>
      </c>
      <c r="B67" s="49">
        <f>SUM(B48:B66)</f>
        <v>515265.62</v>
      </c>
      <c r="C67" s="28"/>
      <c r="D67" s="45"/>
      <c r="E67" s="45" t="s">
        <v>101</v>
      </c>
      <c r="F67" s="45"/>
      <c r="G67" s="50">
        <f>SUM(G48:G66)</f>
        <v>467648</v>
      </c>
      <c r="I67" s="47">
        <f>G67-B67</f>
        <v>-47617.62</v>
      </c>
    </row>
    <row r="68" ht="12.75" customHeight="1">
      <c r="A68" s="28"/>
      <c r="B68" s="38"/>
      <c r="C68" s="28"/>
      <c r="D68" s="28"/>
      <c r="E68" s="28"/>
      <c r="F68" s="28"/>
      <c r="G68" s="44"/>
    </row>
    <row r="69" ht="12.75" customHeight="1">
      <c r="A69" s="30">
        <v>45839.0</v>
      </c>
      <c r="B69" s="4"/>
      <c r="C69" s="28"/>
      <c r="D69" s="31"/>
      <c r="E69" s="30">
        <v>45839.0</v>
      </c>
      <c r="F69" s="3"/>
      <c r="G69" s="4"/>
      <c r="I69" s="31">
        <f>E69</f>
        <v>45839</v>
      </c>
    </row>
    <row r="70" ht="12.75" customHeight="1">
      <c r="A70" s="32" t="s">
        <v>76</v>
      </c>
      <c r="B70" s="33" t="s">
        <v>77</v>
      </c>
      <c r="C70" s="34"/>
      <c r="D70" s="35" t="s">
        <v>78</v>
      </c>
      <c r="E70" s="32" t="s">
        <v>76</v>
      </c>
      <c r="F70" s="32"/>
      <c r="G70" s="33" t="s">
        <v>79</v>
      </c>
      <c r="I70" s="36" t="s">
        <v>115</v>
      </c>
    </row>
    <row r="71" ht="12.75" customHeight="1">
      <c r="A71" s="28" t="s">
        <v>102</v>
      </c>
      <c r="B71" s="38">
        <v>7500.0</v>
      </c>
      <c r="C71" s="28"/>
      <c r="D71" s="39">
        <v>45842.0</v>
      </c>
      <c r="E71" s="40" t="s">
        <v>82</v>
      </c>
      <c r="F71" s="41"/>
      <c r="G71" s="42">
        <v>127473.0</v>
      </c>
      <c r="I71" s="43"/>
    </row>
    <row r="72" ht="12.75" customHeight="1">
      <c r="A72" s="28" t="s">
        <v>83</v>
      </c>
      <c r="B72" s="38">
        <v>90842.0</v>
      </c>
      <c r="C72" s="28"/>
      <c r="D72" s="39">
        <v>45852.0</v>
      </c>
      <c r="E72" s="41" t="s">
        <v>109</v>
      </c>
      <c r="F72" s="41"/>
      <c r="G72" s="42">
        <v>16331.0</v>
      </c>
      <c r="I72" s="43"/>
    </row>
    <row r="73" ht="12.75" customHeight="1">
      <c r="A73" s="28" t="s">
        <v>85</v>
      </c>
      <c r="B73" s="38">
        <v>24629.0</v>
      </c>
      <c r="C73" s="28"/>
      <c r="D73" s="39">
        <v>45852.0</v>
      </c>
      <c r="E73" s="41" t="s">
        <v>110</v>
      </c>
      <c r="F73" s="41"/>
      <c r="G73" s="42">
        <v>25411.0</v>
      </c>
      <c r="I73" s="43"/>
    </row>
    <row r="74" ht="12.75" customHeight="1">
      <c r="A74" s="28" t="s">
        <v>86</v>
      </c>
      <c r="B74" s="38">
        <v>27593.0</v>
      </c>
      <c r="C74" s="28"/>
      <c r="D74" s="39">
        <v>45853.0</v>
      </c>
      <c r="E74" s="41" t="s">
        <v>116</v>
      </c>
      <c r="F74" s="41"/>
      <c r="G74" s="42">
        <v>70800.0</v>
      </c>
      <c r="I74" s="43"/>
    </row>
    <row r="75" ht="12.75" customHeight="1">
      <c r="A75" s="28" t="s">
        <v>87</v>
      </c>
      <c r="B75" s="38">
        <v>9466.0</v>
      </c>
      <c r="C75" s="28"/>
      <c r="D75" s="39">
        <v>45856.0</v>
      </c>
      <c r="E75" s="40" t="s">
        <v>82</v>
      </c>
      <c r="F75" s="41"/>
      <c r="G75" s="42">
        <v>128313.0</v>
      </c>
      <c r="I75" s="43"/>
    </row>
    <row r="76" ht="12.75" customHeight="1">
      <c r="A76" s="28" t="s">
        <v>106</v>
      </c>
      <c r="B76" s="38">
        <v>10915.0</v>
      </c>
      <c r="C76" s="28"/>
      <c r="D76" s="39">
        <v>45863.0</v>
      </c>
      <c r="E76" s="41" t="s">
        <v>110</v>
      </c>
      <c r="F76" s="41"/>
      <c r="G76" s="42">
        <v>79689.0</v>
      </c>
      <c r="I76" s="43"/>
    </row>
    <row r="77" ht="12.75" customHeight="1">
      <c r="A77" s="28" t="s">
        <v>114</v>
      </c>
      <c r="B77" s="38">
        <v>2000.0</v>
      </c>
      <c r="C77" s="28"/>
      <c r="D77" s="51">
        <v>45845.0</v>
      </c>
      <c r="E77" s="52" t="s">
        <v>117</v>
      </c>
      <c r="F77" s="52"/>
      <c r="G77" s="53">
        <v>21240.0</v>
      </c>
      <c r="I77" s="43"/>
    </row>
    <row r="78" ht="12.75" customHeight="1">
      <c r="A78" s="28" t="s">
        <v>88</v>
      </c>
      <c r="B78" s="38">
        <v>8677.08</v>
      </c>
      <c r="C78" s="28"/>
      <c r="D78" s="28"/>
      <c r="E78" s="28"/>
      <c r="F78" s="28"/>
      <c r="G78" s="44"/>
      <c r="I78" s="43"/>
    </row>
    <row r="79" ht="12.75" customHeight="1">
      <c r="A79" s="28" t="s">
        <v>89</v>
      </c>
      <c r="B79" s="38">
        <v>15000.0</v>
      </c>
      <c r="C79" s="28"/>
      <c r="D79" s="28"/>
      <c r="E79" s="28"/>
      <c r="F79" s="28"/>
      <c r="G79" s="44"/>
      <c r="I79" s="43"/>
    </row>
    <row r="80" ht="12.75" customHeight="1">
      <c r="A80" s="28" t="s">
        <v>90</v>
      </c>
      <c r="B80" s="38">
        <v>2100.0</v>
      </c>
      <c r="C80" s="28"/>
      <c r="D80" s="28"/>
      <c r="E80" s="28"/>
      <c r="F80" s="28"/>
      <c r="G80" s="44"/>
      <c r="I80" s="43"/>
    </row>
    <row r="81" ht="12.75" customHeight="1">
      <c r="A81" s="28" t="s">
        <v>91</v>
      </c>
      <c r="B81" s="38">
        <v>37750.0</v>
      </c>
      <c r="C81" s="28"/>
      <c r="D81" s="28"/>
      <c r="E81" s="28"/>
      <c r="F81" s="28"/>
      <c r="G81" s="44"/>
      <c r="I81" s="43"/>
    </row>
    <row r="82" ht="12.75" customHeight="1">
      <c r="A82" s="28" t="s">
        <v>92</v>
      </c>
      <c r="B82" s="38">
        <v>6008.0</v>
      </c>
      <c r="C82" s="28"/>
      <c r="D82" s="28"/>
      <c r="E82" s="28"/>
      <c r="F82" s="28"/>
      <c r="G82" s="44"/>
      <c r="I82" s="43"/>
    </row>
    <row r="83" ht="12.75" customHeight="1">
      <c r="A83" s="28" t="s">
        <v>96</v>
      </c>
      <c r="B83" s="38">
        <v>115224.0</v>
      </c>
      <c r="C83" s="28"/>
      <c r="D83" s="28"/>
      <c r="E83" s="28"/>
      <c r="F83" s="28"/>
      <c r="G83" s="44"/>
      <c r="I83" s="43"/>
    </row>
    <row r="84" ht="12.75" customHeight="1">
      <c r="A84" s="28" t="s">
        <v>97</v>
      </c>
      <c r="B84" s="38">
        <v>6611.700000000001</v>
      </c>
      <c r="C84" s="28"/>
      <c r="D84" s="28"/>
      <c r="E84" s="28"/>
      <c r="F84" s="28"/>
      <c r="G84" s="44"/>
      <c r="I84" s="43"/>
    </row>
    <row r="85" ht="12.75" customHeight="1">
      <c r="A85" s="28" t="s">
        <v>98</v>
      </c>
      <c r="B85" s="38">
        <v>88711.0</v>
      </c>
      <c r="C85" s="28"/>
      <c r="D85" s="28"/>
      <c r="E85" s="28"/>
      <c r="F85" s="28"/>
      <c r="G85" s="44"/>
      <c r="I85" s="43"/>
    </row>
    <row r="86" ht="12.75" customHeight="1">
      <c r="A86" s="28" t="s">
        <v>100</v>
      </c>
      <c r="B86" s="38">
        <v>1018.6999999999999</v>
      </c>
      <c r="C86" s="28"/>
      <c r="D86" s="28"/>
      <c r="E86" s="28"/>
      <c r="F86" s="28"/>
      <c r="G86" s="44"/>
      <c r="I86" s="43"/>
    </row>
    <row r="87" ht="12.75" customHeight="1">
      <c r="A87" s="28" t="s">
        <v>108</v>
      </c>
      <c r="B87" s="38">
        <v>4165.0</v>
      </c>
      <c r="C87" s="28"/>
      <c r="D87" s="28"/>
      <c r="E87" s="28"/>
      <c r="F87" s="28"/>
      <c r="G87" s="44"/>
      <c r="I87" s="43"/>
    </row>
    <row r="88" ht="12.75" customHeight="1">
      <c r="A88" s="45" t="s">
        <v>101</v>
      </c>
      <c r="B88" s="49">
        <f>SUM(B71:B87)</f>
        <v>458210.48</v>
      </c>
      <c r="C88" s="28"/>
      <c r="D88" s="45"/>
      <c r="E88" s="45" t="s">
        <v>101</v>
      </c>
      <c r="F88" s="45"/>
      <c r="G88" s="50">
        <f>SUM(G71:G87)</f>
        <v>469257</v>
      </c>
      <c r="I88" s="47">
        <f>G88-B88</f>
        <v>11046.52</v>
      </c>
    </row>
    <row r="89" ht="12.75" customHeight="1">
      <c r="A89" s="28"/>
      <c r="B89" s="38"/>
      <c r="C89" s="28"/>
      <c r="D89" s="28"/>
      <c r="E89" s="28"/>
      <c r="F89" s="28"/>
      <c r="G89" s="44"/>
    </row>
    <row r="90" ht="12.75" customHeight="1">
      <c r="A90" s="28"/>
      <c r="B90" s="38"/>
      <c r="C90" s="28"/>
      <c r="D90" s="28"/>
      <c r="E90" s="28"/>
      <c r="F90" s="28"/>
      <c r="G90" s="44"/>
    </row>
    <row r="91" ht="12.75" customHeight="1">
      <c r="A91" s="30">
        <v>45870.0</v>
      </c>
      <c r="B91" s="4"/>
      <c r="C91" s="28"/>
      <c r="D91" s="31"/>
      <c r="E91" s="30">
        <v>45870.0</v>
      </c>
      <c r="F91" s="3"/>
      <c r="G91" s="4"/>
      <c r="I91" s="31">
        <f>E91</f>
        <v>45870</v>
      </c>
    </row>
    <row r="92" ht="12.75" customHeight="1">
      <c r="A92" s="32" t="s">
        <v>76</v>
      </c>
      <c r="B92" s="33" t="s">
        <v>77</v>
      </c>
      <c r="C92" s="34"/>
      <c r="D92" s="35" t="s">
        <v>78</v>
      </c>
      <c r="E92" s="32" t="s">
        <v>76</v>
      </c>
      <c r="F92" s="32"/>
      <c r="G92" s="33" t="s">
        <v>79</v>
      </c>
      <c r="I92" s="36" t="s">
        <v>80</v>
      </c>
    </row>
    <row r="93" ht="12.75" customHeight="1">
      <c r="A93" s="28" t="s">
        <v>81</v>
      </c>
      <c r="B93" s="38">
        <v>220.0</v>
      </c>
      <c r="C93" s="28"/>
      <c r="D93" s="28"/>
      <c r="E93" s="28"/>
      <c r="F93" s="28"/>
      <c r="G93" s="44"/>
      <c r="I93" s="43"/>
    </row>
    <row r="94" ht="12.75" customHeight="1">
      <c r="A94" s="28" t="s">
        <v>118</v>
      </c>
      <c r="B94" s="38">
        <v>43891.0</v>
      </c>
      <c r="C94" s="28"/>
      <c r="D94" s="39">
        <v>45893.0</v>
      </c>
      <c r="E94" s="28" t="s">
        <v>118</v>
      </c>
      <c r="F94" s="28"/>
      <c r="G94" s="44">
        <v>300.0</v>
      </c>
      <c r="I94" s="43"/>
    </row>
    <row r="95" ht="12.75" customHeight="1">
      <c r="A95" s="28" t="s">
        <v>83</v>
      </c>
      <c r="B95" s="38">
        <v>168834.0</v>
      </c>
      <c r="C95" s="28"/>
      <c r="D95" s="39">
        <v>45895.0</v>
      </c>
      <c r="E95" s="41" t="s">
        <v>116</v>
      </c>
      <c r="F95" s="41"/>
      <c r="G95" s="42">
        <v>47200.0</v>
      </c>
      <c r="I95" s="43"/>
    </row>
    <row r="96" ht="12.75" customHeight="1">
      <c r="A96" s="28" t="s">
        <v>85</v>
      </c>
      <c r="B96" s="38">
        <v>24769.0</v>
      </c>
      <c r="C96" s="28"/>
      <c r="D96" s="39">
        <v>45873.0</v>
      </c>
      <c r="E96" s="41" t="s">
        <v>119</v>
      </c>
      <c r="F96" s="41"/>
      <c r="G96" s="42">
        <v>100000.0</v>
      </c>
      <c r="I96" s="43"/>
    </row>
    <row r="97" ht="12.75" customHeight="1">
      <c r="A97" s="28" t="s">
        <v>86</v>
      </c>
      <c r="B97" s="38">
        <v>30653.0</v>
      </c>
      <c r="C97" s="28"/>
      <c r="D97" s="39">
        <v>45870.0</v>
      </c>
      <c r="E97" s="40" t="s">
        <v>82</v>
      </c>
      <c r="F97" s="41"/>
      <c r="G97" s="42">
        <v>129981.0</v>
      </c>
      <c r="I97" s="43"/>
    </row>
    <row r="98" ht="12.75" customHeight="1">
      <c r="A98" s="28" t="s">
        <v>87</v>
      </c>
      <c r="B98" s="38">
        <v>6822.0</v>
      </c>
      <c r="C98" s="28"/>
      <c r="D98" s="39">
        <v>45880.0</v>
      </c>
      <c r="E98" s="41" t="s">
        <v>110</v>
      </c>
      <c r="F98" s="41"/>
      <c r="G98" s="42">
        <v>107452.0</v>
      </c>
      <c r="I98" s="43"/>
    </row>
    <row r="99" ht="12.75" customHeight="1">
      <c r="A99" s="28" t="s">
        <v>106</v>
      </c>
      <c r="B99" s="38">
        <v>4130.0</v>
      </c>
      <c r="C99" s="28"/>
      <c r="D99" s="39">
        <v>45884.0</v>
      </c>
      <c r="E99" s="40" t="s">
        <v>82</v>
      </c>
      <c r="F99" s="41"/>
      <c r="G99" s="42">
        <v>130283.0</v>
      </c>
      <c r="I99" s="43"/>
    </row>
    <row r="100" ht="12.75" customHeight="1">
      <c r="A100" s="28" t="s">
        <v>114</v>
      </c>
      <c r="B100" s="38">
        <v>2000.0</v>
      </c>
      <c r="C100" s="28"/>
      <c r="D100" s="39">
        <v>45885.0</v>
      </c>
      <c r="E100" s="41" t="s">
        <v>109</v>
      </c>
      <c r="F100" s="41"/>
      <c r="G100" s="42">
        <v>7186.0</v>
      </c>
      <c r="I100" s="43"/>
    </row>
    <row r="101" ht="12.75" customHeight="1">
      <c r="A101" s="28" t="s">
        <v>88</v>
      </c>
      <c r="B101" s="38">
        <v>4012.54</v>
      </c>
      <c r="C101" s="28"/>
      <c r="D101" s="39">
        <v>45885.0</v>
      </c>
      <c r="E101" s="41" t="s">
        <v>110</v>
      </c>
      <c r="F101" s="41"/>
      <c r="G101" s="42">
        <v>6319.0</v>
      </c>
      <c r="I101" s="43"/>
    </row>
    <row r="102" ht="12.75" customHeight="1">
      <c r="A102" s="28" t="s">
        <v>90</v>
      </c>
      <c r="B102" s="38">
        <v>600.0</v>
      </c>
      <c r="C102" s="28"/>
      <c r="D102" s="39">
        <v>45888.0</v>
      </c>
      <c r="E102" s="41" t="s">
        <v>109</v>
      </c>
      <c r="F102" s="41"/>
      <c r="G102" s="42">
        <v>7160.0</v>
      </c>
      <c r="I102" s="43"/>
    </row>
    <row r="103" ht="12.75" customHeight="1">
      <c r="A103" s="28" t="s">
        <v>91</v>
      </c>
      <c r="B103" s="38">
        <v>37750.0</v>
      </c>
      <c r="C103" s="28"/>
      <c r="D103" s="39">
        <v>45891.0</v>
      </c>
      <c r="E103" s="41" t="s">
        <v>109</v>
      </c>
      <c r="F103" s="41"/>
      <c r="G103" s="42">
        <v>3547.0</v>
      </c>
      <c r="I103" s="43"/>
    </row>
    <row r="104" ht="12.75" customHeight="1">
      <c r="A104" s="28" t="s">
        <v>92</v>
      </c>
      <c r="B104" s="38">
        <v>3308.0</v>
      </c>
      <c r="C104" s="28"/>
      <c r="D104" s="39">
        <v>45891.0</v>
      </c>
      <c r="E104" s="41" t="s">
        <v>110</v>
      </c>
      <c r="F104" s="41"/>
      <c r="G104" s="42">
        <v>6319.0</v>
      </c>
      <c r="I104" s="43"/>
    </row>
    <row r="105" ht="12.75" customHeight="1">
      <c r="A105" s="28" t="s">
        <v>94</v>
      </c>
      <c r="B105" s="38">
        <v>2006.0</v>
      </c>
      <c r="C105" s="28"/>
      <c r="D105" s="28"/>
      <c r="E105" s="28"/>
      <c r="F105" s="28"/>
      <c r="G105" s="44"/>
      <c r="I105" s="43"/>
    </row>
    <row r="106" ht="12.75" customHeight="1">
      <c r="A106" s="28" t="s">
        <v>96</v>
      </c>
      <c r="B106" s="38">
        <v>141122.0</v>
      </c>
      <c r="C106" s="28"/>
      <c r="D106" s="28"/>
      <c r="E106" s="28"/>
      <c r="F106" s="28"/>
      <c r="G106" s="44"/>
      <c r="I106" s="43"/>
    </row>
    <row r="107" ht="12.75" customHeight="1">
      <c r="A107" s="28" t="s">
        <v>120</v>
      </c>
      <c r="B107" s="38">
        <v>18000.0</v>
      </c>
      <c r="C107" s="28"/>
      <c r="D107" s="28"/>
      <c r="E107" s="28"/>
      <c r="F107" s="28"/>
      <c r="G107" s="44"/>
      <c r="I107" s="43"/>
    </row>
    <row r="108" ht="12.75" customHeight="1">
      <c r="A108" s="28" t="s">
        <v>121</v>
      </c>
      <c r="B108" s="38">
        <v>3200.0</v>
      </c>
      <c r="C108" s="28"/>
      <c r="D108" s="28"/>
      <c r="E108" s="28"/>
      <c r="F108" s="28"/>
      <c r="G108" s="44"/>
      <c r="I108" s="43"/>
    </row>
    <row r="109" ht="12.75" customHeight="1">
      <c r="A109" s="28" t="s">
        <v>97</v>
      </c>
      <c r="B109" s="38">
        <v>12946.85</v>
      </c>
      <c r="C109" s="28"/>
      <c r="D109" s="28"/>
      <c r="E109" s="28"/>
      <c r="F109" s="28"/>
      <c r="G109" s="44"/>
      <c r="I109" s="43"/>
    </row>
    <row r="110" ht="12.75" customHeight="1">
      <c r="A110" s="28" t="s">
        <v>98</v>
      </c>
      <c r="B110" s="38">
        <v>54270.0</v>
      </c>
      <c r="C110" s="28"/>
      <c r="D110" s="28"/>
      <c r="E110" s="28"/>
      <c r="F110" s="28"/>
      <c r="G110" s="44"/>
      <c r="I110" s="43"/>
    </row>
    <row r="111" ht="12.75" customHeight="1">
      <c r="A111" s="28" t="s">
        <v>100</v>
      </c>
      <c r="B111" s="38">
        <v>1921.4</v>
      </c>
      <c r="C111" s="28"/>
      <c r="D111" s="28"/>
      <c r="E111" s="28"/>
      <c r="F111" s="28"/>
      <c r="G111" s="44"/>
      <c r="I111" s="43"/>
    </row>
    <row r="112" ht="12.75" customHeight="1">
      <c r="A112" s="28" t="s">
        <v>108</v>
      </c>
      <c r="B112" s="38">
        <v>1400.0</v>
      </c>
      <c r="C112" s="28"/>
      <c r="D112" s="28"/>
      <c r="E112" s="28"/>
      <c r="F112" s="28"/>
      <c r="G112" s="44"/>
      <c r="I112" s="43"/>
    </row>
    <row r="113" ht="12.75" customHeight="1">
      <c r="A113" s="45" t="s">
        <v>101</v>
      </c>
      <c r="B113" s="49">
        <f>SUM(B93:B112)</f>
        <v>561855.79</v>
      </c>
      <c r="C113" s="28"/>
      <c r="D113" s="45"/>
      <c r="E113" s="45" t="s">
        <v>101</v>
      </c>
      <c r="F113" s="45"/>
      <c r="G113" s="50">
        <f>SUM(G93:G112)</f>
        <v>545747</v>
      </c>
      <c r="I113" s="47">
        <f>G113-B113</f>
        <v>-16108.79</v>
      </c>
    </row>
    <row r="114" ht="12.75" customHeight="1">
      <c r="A114" s="28"/>
      <c r="B114" s="38"/>
      <c r="C114" s="28"/>
      <c r="D114" s="28"/>
      <c r="E114" s="28"/>
      <c r="F114" s="28"/>
      <c r="G114" s="44"/>
    </row>
    <row r="115" ht="12.75" customHeight="1">
      <c r="A115" s="28"/>
      <c r="B115" s="38"/>
      <c r="C115" s="28"/>
      <c r="D115" s="28"/>
      <c r="E115" s="28"/>
      <c r="F115" s="28"/>
      <c r="G115" s="44"/>
    </row>
    <row r="116" ht="12.75" customHeight="1">
      <c r="A116" s="30">
        <v>45901.0</v>
      </c>
      <c r="B116" s="4"/>
      <c r="C116" s="28"/>
      <c r="D116" s="31"/>
      <c r="E116" s="30">
        <v>45901.0</v>
      </c>
      <c r="F116" s="3"/>
      <c r="G116" s="4"/>
      <c r="I116" s="31">
        <f>E116</f>
        <v>45901</v>
      </c>
    </row>
    <row r="117" ht="12.75" customHeight="1">
      <c r="A117" s="32" t="s">
        <v>76</v>
      </c>
      <c r="B117" s="33" t="s">
        <v>77</v>
      </c>
      <c r="C117" s="34"/>
      <c r="D117" s="35" t="s">
        <v>78</v>
      </c>
      <c r="E117" s="32" t="s">
        <v>76</v>
      </c>
      <c r="F117" s="32"/>
      <c r="G117" s="33" t="s">
        <v>79</v>
      </c>
      <c r="I117" s="54" t="s">
        <v>80</v>
      </c>
    </row>
    <row r="118" ht="12.75" customHeight="1">
      <c r="A118" s="28" t="s">
        <v>81</v>
      </c>
      <c r="B118" s="38">
        <v>1495.0</v>
      </c>
      <c r="C118" s="28"/>
      <c r="D118" s="55">
        <v>45903.0</v>
      </c>
      <c r="E118" s="40" t="s">
        <v>82</v>
      </c>
      <c r="F118" s="56"/>
      <c r="G118" s="57">
        <v>131356.0</v>
      </c>
      <c r="I118" s="43"/>
    </row>
    <row r="119" ht="12.75" customHeight="1">
      <c r="A119" s="28" t="s">
        <v>102</v>
      </c>
      <c r="B119" s="38">
        <v>7360.0</v>
      </c>
      <c r="C119" s="28"/>
      <c r="D119" s="55">
        <v>45909.0</v>
      </c>
      <c r="E119" s="56" t="s">
        <v>109</v>
      </c>
      <c r="F119" s="56"/>
      <c r="G119" s="57">
        <v>8676.16</v>
      </c>
      <c r="I119" s="43"/>
    </row>
    <row r="120" ht="12.75" customHeight="1">
      <c r="A120" s="28" t="s">
        <v>104</v>
      </c>
      <c r="B120" s="38">
        <v>5.9</v>
      </c>
      <c r="C120" s="28"/>
      <c r="D120" s="55">
        <v>45910.0</v>
      </c>
      <c r="E120" s="56" t="s">
        <v>110</v>
      </c>
      <c r="F120" s="56"/>
      <c r="G120" s="57">
        <v>88491.28</v>
      </c>
      <c r="I120" s="43"/>
    </row>
    <row r="121" ht="12.75" customHeight="1">
      <c r="A121" s="28" t="s">
        <v>122</v>
      </c>
      <c r="B121" s="38">
        <v>85000.0</v>
      </c>
      <c r="C121" s="28"/>
      <c r="D121" s="55">
        <v>45913.0</v>
      </c>
      <c r="E121" s="56" t="s">
        <v>116</v>
      </c>
      <c r="F121" s="56"/>
      <c r="G121" s="57">
        <v>59000.0</v>
      </c>
      <c r="I121" s="43"/>
    </row>
    <row r="122" ht="12.75" customHeight="1">
      <c r="A122" s="28" t="s">
        <v>118</v>
      </c>
      <c r="B122" s="38">
        <v>26397.0</v>
      </c>
      <c r="C122" s="28"/>
      <c r="D122" s="55">
        <v>45916.0</v>
      </c>
      <c r="E122" s="40" t="s">
        <v>82</v>
      </c>
      <c r="F122" s="56"/>
      <c r="G122" s="57">
        <v>131320.0</v>
      </c>
      <c r="I122" s="43"/>
    </row>
    <row r="123" ht="12.75" customHeight="1">
      <c r="A123" s="28" t="s">
        <v>123</v>
      </c>
      <c r="B123" s="38">
        <v>23000.0</v>
      </c>
      <c r="C123" s="28"/>
      <c r="D123" s="55">
        <v>45916.0</v>
      </c>
      <c r="E123" s="56" t="s">
        <v>119</v>
      </c>
      <c r="F123" s="56"/>
      <c r="G123" s="57">
        <v>185999.86</v>
      </c>
      <c r="I123" s="43"/>
    </row>
    <row r="124" ht="12.75" customHeight="1">
      <c r="A124" s="28" t="s">
        <v>86</v>
      </c>
      <c r="B124" s="38">
        <v>28974.0</v>
      </c>
      <c r="C124" s="28"/>
      <c r="D124" s="55">
        <v>45922.0</v>
      </c>
      <c r="E124" s="56" t="s">
        <v>110</v>
      </c>
      <c r="F124" s="56"/>
      <c r="G124" s="57">
        <v>14096.08</v>
      </c>
      <c r="I124" s="43"/>
    </row>
    <row r="125" ht="12.75" customHeight="1">
      <c r="A125" s="28" t="s">
        <v>124</v>
      </c>
      <c r="B125" s="38">
        <v>4727.0</v>
      </c>
      <c r="C125" s="28"/>
      <c r="D125" s="55">
        <v>45926.0</v>
      </c>
      <c r="E125" s="56" t="s">
        <v>110</v>
      </c>
      <c r="F125" s="56"/>
      <c r="G125" s="57">
        <v>6145.0</v>
      </c>
      <c r="I125" s="43"/>
    </row>
    <row r="126" ht="12.75" customHeight="1">
      <c r="A126" s="28" t="s">
        <v>87</v>
      </c>
      <c r="B126" s="38">
        <v>5243.0</v>
      </c>
      <c r="C126" s="28"/>
      <c r="D126" s="28"/>
      <c r="E126" s="28"/>
      <c r="F126" s="28"/>
      <c r="G126" s="44"/>
      <c r="I126" s="43"/>
    </row>
    <row r="127" ht="12.75" customHeight="1">
      <c r="A127" s="28" t="s">
        <v>106</v>
      </c>
      <c r="B127" s="38">
        <v>4130.0</v>
      </c>
      <c r="C127" s="28"/>
      <c r="D127" s="28"/>
      <c r="E127" s="28"/>
      <c r="F127" s="28"/>
      <c r="G127" s="44"/>
      <c r="I127" s="43"/>
    </row>
    <row r="128" ht="12.75" customHeight="1">
      <c r="A128" s="28" t="s">
        <v>88</v>
      </c>
      <c r="B128" s="38">
        <v>3363.54</v>
      </c>
      <c r="C128" s="28"/>
      <c r="D128" s="28"/>
      <c r="E128" s="28"/>
      <c r="F128" s="28"/>
      <c r="G128" s="44"/>
      <c r="I128" s="43"/>
    </row>
    <row r="129" ht="12.75" customHeight="1">
      <c r="A129" s="28" t="s">
        <v>89</v>
      </c>
      <c r="B129" s="38">
        <v>30545.0</v>
      </c>
      <c r="C129" s="28"/>
      <c r="D129" s="28"/>
      <c r="E129" s="28"/>
      <c r="F129" s="28"/>
      <c r="G129" s="44"/>
      <c r="I129" s="43"/>
    </row>
    <row r="130" ht="12.75" customHeight="1">
      <c r="A130" s="28" t="s">
        <v>90</v>
      </c>
      <c r="B130" s="38">
        <v>100.0</v>
      </c>
      <c r="C130" s="28"/>
      <c r="D130" s="28"/>
      <c r="E130" s="28"/>
      <c r="F130" s="28"/>
      <c r="G130" s="44"/>
      <c r="I130" s="43"/>
    </row>
    <row r="131" ht="12.75" customHeight="1">
      <c r="A131" s="28" t="s">
        <v>91</v>
      </c>
      <c r="B131" s="38">
        <v>37750.0</v>
      </c>
      <c r="C131" s="28"/>
      <c r="D131" s="28"/>
      <c r="E131" s="28"/>
      <c r="F131" s="28"/>
      <c r="G131" s="44"/>
      <c r="I131" s="43"/>
    </row>
    <row r="132" ht="12.75" customHeight="1">
      <c r="A132" s="28" t="s">
        <v>125</v>
      </c>
      <c r="B132" s="38">
        <v>1032.0</v>
      </c>
      <c r="C132" s="28"/>
      <c r="D132" s="28"/>
      <c r="E132" s="28"/>
      <c r="F132" s="28"/>
      <c r="G132" s="44"/>
      <c r="I132" s="43"/>
    </row>
    <row r="133" ht="12.75" customHeight="1">
      <c r="A133" s="28" t="s">
        <v>92</v>
      </c>
      <c r="B133" s="38">
        <v>13308.0</v>
      </c>
      <c r="C133" s="28"/>
      <c r="D133" s="28"/>
      <c r="E133" s="28"/>
      <c r="F133" s="28"/>
      <c r="G133" s="44"/>
      <c r="I133" s="43"/>
    </row>
    <row r="134" ht="12.75" customHeight="1">
      <c r="A134" s="28" t="s">
        <v>95</v>
      </c>
      <c r="B134" s="38">
        <v>27544.0</v>
      </c>
      <c r="C134" s="28"/>
      <c r="D134" s="28"/>
      <c r="E134" s="28"/>
      <c r="F134" s="28"/>
      <c r="G134" s="44"/>
      <c r="I134" s="43"/>
    </row>
    <row r="135" ht="12.75" customHeight="1">
      <c r="A135" s="28" t="s">
        <v>96</v>
      </c>
      <c r="B135" s="38">
        <v>306639.0</v>
      </c>
      <c r="C135" s="28"/>
      <c r="D135" s="28"/>
      <c r="E135" s="28"/>
      <c r="F135" s="28"/>
      <c r="G135" s="44"/>
      <c r="I135" s="43"/>
    </row>
    <row r="136" ht="12.75" customHeight="1">
      <c r="A136" s="28" t="s">
        <v>97</v>
      </c>
      <c r="B136" s="38">
        <v>1917.5</v>
      </c>
      <c r="C136" s="28"/>
      <c r="D136" s="28"/>
      <c r="E136" s="28"/>
      <c r="F136" s="28"/>
      <c r="G136" s="44"/>
      <c r="I136" s="43"/>
    </row>
    <row r="137" ht="12.75" customHeight="1">
      <c r="A137" s="28" t="s">
        <v>98</v>
      </c>
      <c r="B137" s="38">
        <v>69842.0</v>
      </c>
      <c r="C137" s="28"/>
      <c r="D137" s="28"/>
      <c r="E137" s="28"/>
      <c r="F137" s="28"/>
      <c r="G137" s="44"/>
      <c r="I137" s="43"/>
    </row>
    <row r="138" ht="12.75" customHeight="1">
      <c r="A138" s="28" t="s">
        <v>100</v>
      </c>
      <c r="B138" s="38">
        <v>1213.6</v>
      </c>
      <c r="C138" s="28"/>
      <c r="D138" s="28"/>
      <c r="E138" s="28"/>
      <c r="F138" s="28"/>
      <c r="G138" s="44"/>
      <c r="I138" s="43"/>
    </row>
    <row r="139" ht="12.75" customHeight="1">
      <c r="A139" s="28" t="s">
        <v>108</v>
      </c>
      <c r="B139" s="38">
        <v>2929.91</v>
      </c>
      <c r="C139" s="28"/>
      <c r="D139" s="28"/>
      <c r="E139" s="28"/>
      <c r="F139" s="28"/>
      <c r="G139" s="44"/>
      <c r="I139" s="58"/>
    </row>
    <row r="140" ht="12.75" customHeight="1">
      <c r="A140" s="45" t="s">
        <v>101</v>
      </c>
      <c r="B140" s="49">
        <f>SUM(B118:B139)</f>
        <v>682516.45</v>
      </c>
      <c r="C140" s="28"/>
      <c r="D140" s="45"/>
      <c r="E140" s="45" t="s">
        <v>101</v>
      </c>
      <c r="F140" s="45"/>
      <c r="G140" s="50">
        <f>SUM(G118:G139)</f>
        <v>625084.38</v>
      </c>
      <c r="I140" s="47">
        <f>G140-B140</f>
        <v>-57432.07</v>
      </c>
    </row>
    <row r="141" ht="12.75" customHeight="1">
      <c r="B141" s="24"/>
      <c r="G141" s="25"/>
    </row>
    <row r="142" ht="12.75" customHeight="1">
      <c r="A142" s="59">
        <v>45931.0</v>
      </c>
      <c r="B142" s="4"/>
      <c r="C142" s="28"/>
      <c r="D142" s="60"/>
      <c r="E142" s="59">
        <v>45931.0</v>
      </c>
      <c r="F142" s="3"/>
      <c r="G142" s="4"/>
      <c r="I142" s="31">
        <f>E142</f>
        <v>45931</v>
      </c>
    </row>
    <row r="143" ht="12.75" customHeight="1">
      <c r="A143" s="32" t="s">
        <v>76</v>
      </c>
      <c r="B143" s="33" t="s">
        <v>77</v>
      </c>
      <c r="C143" s="34"/>
      <c r="D143" s="35" t="s">
        <v>78</v>
      </c>
      <c r="E143" s="61" t="s">
        <v>76</v>
      </c>
      <c r="F143" s="62"/>
      <c r="G143" s="63" t="s">
        <v>79</v>
      </c>
      <c r="I143" s="54" t="s">
        <v>115</v>
      </c>
    </row>
    <row r="144" ht="12.75" customHeight="1">
      <c r="A144" s="64" t="s">
        <v>104</v>
      </c>
      <c r="B144" s="65">
        <v>424.0</v>
      </c>
      <c r="C144" s="28"/>
      <c r="D144" s="66"/>
      <c r="E144" s="66" t="s">
        <v>126</v>
      </c>
      <c r="F144" s="67"/>
      <c r="G144" s="68">
        <v>132373.93</v>
      </c>
      <c r="I144" s="43"/>
    </row>
    <row r="145" ht="12.75" customHeight="1">
      <c r="A145" s="69" t="s">
        <v>118</v>
      </c>
      <c r="B145" s="70">
        <v>72755.0</v>
      </c>
      <c r="C145" s="28"/>
      <c r="D145" s="71">
        <v>45936.0</v>
      </c>
      <c r="E145" s="66" t="s">
        <v>110</v>
      </c>
      <c r="F145" s="72"/>
      <c r="G145" s="73">
        <v>103006.0</v>
      </c>
      <c r="I145" s="43"/>
    </row>
    <row r="146" ht="12.75" customHeight="1">
      <c r="A146" s="64" t="s">
        <v>83</v>
      </c>
      <c r="B146" s="74">
        <v>175984.0</v>
      </c>
      <c r="C146" s="28"/>
      <c r="D146" s="71">
        <v>45937.0</v>
      </c>
      <c r="E146" s="66" t="s">
        <v>105</v>
      </c>
      <c r="F146" s="72"/>
      <c r="G146" s="73">
        <v>2500.0</v>
      </c>
      <c r="I146" s="43"/>
    </row>
    <row r="147" ht="12.75" customHeight="1">
      <c r="A147" s="64" t="s">
        <v>85</v>
      </c>
      <c r="B147" s="65">
        <v>28122.0</v>
      </c>
      <c r="C147" s="28"/>
      <c r="D147" s="71">
        <v>45944.0</v>
      </c>
      <c r="E147" s="66" t="s">
        <v>127</v>
      </c>
      <c r="F147" s="72"/>
      <c r="G147" s="73">
        <v>11800.0</v>
      </c>
      <c r="I147" s="43"/>
    </row>
    <row r="148" ht="12.75" customHeight="1">
      <c r="A148" s="64" t="s">
        <v>86</v>
      </c>
      <c r="B148" s="65">
        <v>27958.0</v>
      </c>
      <c r="C148" s="28"/>
      <c r="D148" s="71">
        <v>45947.0</v>
      </c>
      <c r="E148" s="66" t="s">
        <v>128</v>
      </c>
      <c r="F148" s="72"/>
      <c r="G148" s="73">
        <v>100000.0</v>
      </c>
      <c r="I148" s="43"/>
    </row>
    <row r="149" ht="12.75" customHeight="1">
      <c r="A149" s="64" t="s">
        <v>124</v>
      </c>
      <c r="B149" s="65">
        <v>4258.0</v>
      </c>
      <c r="C149" s="28"/>
      <c r="D149" s="71">
        <v>45947.0</v>
      </c>
      <c r="E149" s="66" t="s">
        <v>126</v>
      </c>
      <c r="F149" s="72"/>
      <c r="G149" s="73">
        <v>131089.0</v>
      </c>
      <c r="I149" s="43"/>
    </row>
    <row r="150" ht="12.75" customHeight="1">
      <c r="A150" s="64" t="s">
        <v>87</v>
      </c>
      <c r="B150" s="65">
        <v>9410.0</v>
      </c>
      <c r="C150" s="28"/>
      <c r="D150" s="71">
        <v>45948.0</v>
      </c>
      <c r="E150" s="66" t="s">
        <v>129</v>
      </c>
      <c r="F150" s="72"/>
      <c r="G150" s="73">
        <v>100000.0</v>
      </c>
      <c r="I150" s="43"/>
    </row>
    <row r="151" ht="12.75" customHeight="1">
      <c r="A151" s="64" t="s">
        <v>106</v>
      </c>
      <c r="B151" s="65">
        <v>7906.0</v>
      </c>
      <c r="C151" s="28"/>
      <c r="D151" s="71">
        <v>45950.0</v>
      </c>
      <c r="E151" s="64" t="s">
        <v>109</v>
      </c>
      <c r="F151" s="72"/>
      <c r="G151" s="73">
        <v>51341.0</v>
      </c>
      <c r="I151" s="43"/>
    </row>
    <row r="152" ht="12.75" customHeight="1">
      <c r="A152" s="64" t="s">
        <v>88</v>
      </c>
      <c r="B152" s="65">
        <v>8680.0</v>
      </c>
      <c r="C152" s="28"/>
      <c r="D152" s="71">
        <v>45959.0</v>
      </c>
      <c r="E152" s="64" t="s">
        <v>110</v>
      </c>
      <c r="F152" s="72"/>
      <c r="G152" s="73">
        <v>24951.0</v>
      </c>
      <c r="I152" s="43"/>
    </row>
    <row r="153" ht="12.75" customHeight="1">
      <c r="A153" s="64" t="s">
        <v>89</v>
      </c>
      <c r="B153" s="65">
        <v>14000.0</v>
      </c>
      <c r="C153" s="28"/>
      <c r="D153" s="28"/>
      <c r="E153" s="28"/>
      <c r="F153" s="28"/>
      <c r="G153" s="44"/>
      <c r="I153" s="43"/>
    </row>
    <row r="154" ht="12.75" customHeight="1">
      <c r="A154" s="64" t="s">
        <v>91</v>
      </c>
      <c r="B154" s="65">
        <v>32750.0</v>
      </c>
      <c r="C154" s="28"/>
      <c r="D154" s="28"/>
      <c r="E154" s="28"/>
      <c r="F154" s="28"/>
      <c r="G154" s="44"/>
      <c r="I154" s="43"/>
    </row>
    <row r="155" ht="12.75" customHeight="1">
      <c r="A155" s="64" t="s">
        <v>125</v>
      </c>
      <c r="B155" s="65">
        <v>473.0</v>
      </c>
      <c r="C155" s="28"/>
      <c r="D155" s="28"/>
      <c r="E155" s="28"/>
      <c r="F155" s="28"/>
      <c r="G155" s="44"/>
      <c r="I155" s="43"/>
    </row>
    <row r="156" ht="12.75" customHeight="1">
      <c r="A156" s="64" t="s">
        <v>92</v>
      </c>
      <c r="B156" s="65">
        <v>9734.0</v>
      </c>
      <c r="C156" s="28"/>
      <c r="D156" s="28"/>
      <c r="E156" s="28"/>
      <c r="F156" s="28"/>
      <c r="G156" s="44"/>
      <c r="I156" s="43"/>
    </row>
    <row r="157" ht="12.75" customHeight="1">
      <c r="A157" s="64" t="s">
        <v>93</v>
      </c>
      <c r="B157" s="65">
        <v>16065.0</v>
      </c>
      <c r="C157" s="28"/>
      <c r="D157" s="28"/>
      <c r="E157" s="28"/>
      <c r="F157" s="28"/>
      <c r="G157" s="44"/>
      <c r="I157" s="43"/>
    </row>
    <row r="158" ht="12.75" customHeight="1">
      <c r="A158" s="64" t="s">
        <v>96</v>
      </c>
      <c r="B158" s="74">
        <v>129777.0</v>
      </c>
      <c r="C158" s="28"/>
      <c r="D158" s="28"/>
      <c r="E158" s="28"/>
      <c r="F158" s="28"/>
      <c r="G158" s="44"/>
      <c r="I158" s="43"/>
    </row>
    <row r="159" ht="12.75" customHeight="1">
      <c r="A159" s="64" t="s">
        <v>97</v>
      </c>
      <c r="B159" s="65">
        <v>2640.0</v>
      </c>
      <c r="C159" s="28"/>
      <c r="D159" s="28"/>
      <c r="E159" s="28"/>
      <c r="F159" s="28"/>
      <c r="G159" s="44"/>
      <c r="I159" s="43"/>
    </row>
    <row r="160" ht="12.75" customHeight="1">
      <c r="A160" s="64" t="s">
        <v>98</v>
      </c>
      <c r="B160" s="65">
        <v>53882.0</v>
      </c>
      <c r="C160" s="28"/>
      <c r="D160" s="28"/>
      <c r="E160" s="28"/>
      <c r="F160" s="28"/>
      <c r="G160" s="44"/>
      <c r="I160" s="43"/>
    </row>
    <row r="161" ht="12.75" customHeight="1">
      <c r="A161" s="64" t="s">
        <v>100</v>
      </c>
      <c r="B161" s="65">
        <v>301.0</v>
      </c>
      <c r="C161" s="28"/>
      <c r="D161" s="28"/>
      <c r="E161" s="28"/>
      <c r="F161" s="28"/>
      <c r="G161" s="44"/>
      <c r="I161" s="43"/>
    </row>
    <row r="162" ht="12.75" customHeight="1">
      <c r="A162" s="28"/>
      <c r="B162" s="38"/>
      <c r="C162" s="28"/>
      <c r="D162" s="28"/>
      <c r="E162" s="28"/>
      <c r="F162" s="28"/>
      <c r="G162" s="44"/>
      <c r="I162" s="43"/>
    </row>
    <row r="163" ht="12.75" customHeight="1">
      <c r="A163" s="28"/>
      <c r="B163" s="38"/>
      <c r="C163" s="28"/>
      <c r="D163" s="28"/>
      <c r="E163" s="28"/>
      <c r="F163" s="28"/>
      <c r="G163" s="44"/>
      <c r="I163" s="43"/>
    </row>
    <row r="164" ht="12.75" customHeight="1">
      <c r="A164" s="28"/>
      <c r="B164" s="38"/>
      <c r="C164" s="28"/>
      <c r="D164" s="28"/>
      <c r="E164" s="28"/>
      <c r="F164" s="28"/>
      <c r="G164" s="44"/>
      <c r="I164" s="43"/>
    </row>
    <row r="165" ht="12.75" customHeight="1">
      <c r="A165" s="28"/>
      <c r="B165" s="38"/>
      <c r="C165" s="28"/>
      <c r="D165" s="28"/>
      <c r="E165" s="28"/>
      <c r="F165" s="28"/>
      <c r="G165" s="44"/>
      <c r="I165" s="58"/>
    </row>
    <row r="166" ht="12.75" customHeight="1">
      <c r="A166" s="45" t="s">
        <v>101</v>
      </c>
      <c r="B166" s="49">
        <f>sum(B144:B163)</f>
        <v>595119</v>
      </c>
      <c r="C166" s="28"/>
      <c r="D166" s="45"/>
      <c r="E166" s="45" t="s">
        <v>101</v>
      </c>
      <c r="F166" s="45"/>
      <c r="G166" s="50">
        <f>SUM(G144:G165)</f>
        <v>657060.93</v>
      </c>
      <c r="I166" s="47">
        <f>G166-B166</f>
        <v>61941.93</v>
      </c>
    </row>
    <row r="167" ht="12.75" customHeight="1">
      <c r="B167" s="24"/>
      <c r="G167" s="25"/>
    </row>
    <row r="168" ht="12.75" customHeight="1">
      <c r="B168" s="24"/>
      <c r="G168" s="25"/>
    </row>
    <row r="169" ht="12.75" customHeight="1">
      <c r="B169" s="24"/>
      <c r="G169" s="25"/>
    </row>
    <row r="170" ht="12.75" customHeight="1">
      <c r="B170" s="24"/>
      <c r="G170" s="25"/>
    </row>
    <row r="171" ht="12.75" customHeight="1">
      <c r="A171" s="75" t="s">
        <v>130</v>
      </c>
      <c r="B171" s="76">
        <f>B140++B113+B88+B67+B44+B26</f>
        <v>3217115.79</v>
      </c>
      <c r="D171" s="75"/>
      <c r="E171" s="75" t="s">
        <v>131</v>
      </c>
      <c r="F171" s="75"/>
      <c r="G171" s="77">
        <f>G140+G113+G88+G67+G44+G26</f>
        <v>3007794.38</v>
      </c>
    </row>
    <row r="172" ht="12.75" customHeight="1">
      <c r="B172" s="24"/>
      <c r="G172" s="25"/>
    </row>
    <row r="173" ht="12.75" customHeight="1">
      <c r="A173" s="75" t="s">
        <v>132</v>
      </c>
      <c r="B173" s="76">
        <f>G140+G113++G88+G67+G26+G44</f>
        <v>3007794.38</v>
      </c>
      <c r="G173" s="25"/>
    </row>
    <row r="174" ht="12.75" customHeight="1">
      <c r="A174" s="75" t="s">
        <v>133</v>
      </c>
      <c r="B174" s="76">
        <f>B140+B113++B88+B67+B44+B26</f>
        <v>3217115.79</v>
      </c>
      <c r="G174" s="25"/>
    </row>
    <row r="175" ht="12.75" customHeight="1">
      <c r="A175" s="75" t="s">
        <v>134</v>
      </c>
      <c r="B175" s="76">
        <f>B173-B174</f>
        <v>-209321.41</v>
      </c>
      <c r="G175" s="25"/>
    </row>
    <row r="176" ht="12.75" customHeight="1">
      <c r="B176" s="24"/>
      <c r="G176" s="25"/>
    </row>
    <row r="177" ht="12.75" customHeight="1">
      <c r="A177" s="11" t="s">
        <v>135</v>
      </c>
      <c r="B177" s="24"/>
      <c r="G177" s="25"/>
    </row>
    <row r="178" ht="12.75" customHeight="1">
      <c r="A178" s="11" t="s">
        <v>136</v>
      </c>
      <c r="B178" s="24"/>
      <c r="G178" s="25"/>
    </row>
    <row r="179" ht="12.75" customHeight="1">
      <c r="B179" s="24"/>
      <c r="G179" s="25"/>
    </row>
    <row r="180" ht="12.75" customHeight="1">
      <c r="B180" s="24"/>
      <c r="G180" s="25"/>
    </row>
    <row r="181" ht="12.75" customHeight="1">
      <c r="B181" s="24"/>
      <c r="G181" s="25"/>
    </row>
    <row r="182" ht="12.75" customHeight="1">
      <c r="B182" s="24"/>
      <c r="G182" s="25"/>
    </row>
    <row r="183" ht="12.75" customHeight="1">
      <c r="A183" s="11" t="s">
        <v>137</v>
      </c>
      <c r="B183" s="24"/>
      <c r="G183" s="25"/>
    </row>
    <row r="184" ht="12.75" customHeight="1">
      <c r="B184" s="24"/>
      <c r="G184" s="25"/>
    </row>
    <row r="185" ht="12.75" customHeight="1">
      <c r="B185" s="24"/>
      <c r="G185" s="25"/>
    </row>
    <row r="186" ht="12.75" customHeight="1">
      <c r="B186" s="24"/>
      <c r="G186" s="25"/>
    </row>
    <row r="187" ht="12.75" customHeight="1">
      <c r="B187" s="24"/>
      <c r="G187" s="25"/>
    </row>
    <row r="188" ht="12.75" customHeight="1">
      <c r="B188" s="24"/>
      <c r="G188" s="25"/>
    </row>
    <row r="189" ht="12.75" customHeight="1">
      <c r="B189" s="24"/>
      <c r="G189" s="25"/>
    </row>
    <row r="190" ht="12.75" customHeight="1">
      <c r="B190" s="24"/>
      <c r="G190" s="25"/>
    </row>
    <row r="191" ht="12.75" customHeight="1">
      <c r="B191" s="24"/>
      <c r="G191" s="25"/>
    </row>
    <row r="192" ht="12.75" customHeight="1">
      <c r="B192" s="24"/>
      <c r="G192" s="25"/>
    </row>
    <row r="193" ht="12.75" customHeight="1">
      <c r="B193" s="24"/>
      <c r="G193" s="25"/>
    </row>
    <row r="194" ht="12.75" customHeight="1">
      <c r="B194" s="24"/>
      <c r="D194" s="78"/>
      <c r="E194" s="78"/>
      <c r="F194" s="78"/>
      <c r="G194" s="25"/>
    </row>
    <row r="195" ht="12.75" customHeight="1">
      <c r="B195" s="24"/>
      <c r="D195" s="78"/>
      <c r="E195" s="78"/>
      <c r="F195" s="79"/>
      <c r="G195" s="25"/>
    </row>
    <row r="196" ht="12.75" customHeight="1">
      <c r="B196" s="24"/>
      <c r="G196" s="25"/>
    </row>
    <row r="197" ht="12.75" customHeight="1">
      <c r="B197" s="24"/>
      <c r="G197" s="25"/>
    </row>
    <row r="198" ht="12.75" customHeight="1">
      <c r="B198" s="24"/>
      <c r="G198" s="25"/>
    </row>
    <row r="199" ht="12.75" customHeight="1">
      <c r="B199" s="24"/>
      <c r="G199" s="25"/>
    </row>
    <row r="200" ht="12.75" customHeight="1">
      <c r="B200" s="24"/>
      <c r="G200" s="25"/>
    </row>
    <row r="201" ht="12.75" customHeight="1">
      <c r="B201" s="24"/>
      <c r="G201" s="25"/>
    </row>
    <row r="202" ht="12.75" customHeight="1">
      <c r="B202" s="24"/>
      <c r="G202" s="25"/>
    </row>
    <row r="203" ht="12.75" customHeight="1">
      <c r="B203" s="24"/>
      <c r="G203" s="25"/>
    </row>
    <row r="204" ht="12.75" customHeight="1">
      <c r="B204" s="24"/>
      <c r="G204" s="25"/>
    </row>
    <row r="205" ht="12.75" customHeight="1">
      <c r="B205" s="24"/>
      <c r="G205" s="25"/>
    </row>
    <row r="206" ht="12.75" customHeight="1">
      <c r="B206" s="24"/>
      <c r="G206" s="25"/>
    </row>
    <row r="207" ht="12.75" customHeight="1">
      <c r="B207" s="24"/>
      <c r="G207" s="25"/>
    </row>
    <row r="208" ht="12.75" customHeight="1">
      <c r="B208" s="24"/>
      <c r="G208" s="25"/>
    </row>
    <row r="209" ht="12.75" customHeight="1">
      <c r="B209" s="24"/>
      <c r="G209" s="25"/>
    </row>
    <row r="210" ht="12.75" customHeight="1">
      <c r="B210" s="24"/>
      <c r="G210" s="25"/>
    </row>
    <row r="211" ht="12.75" customHeight="1">
      <c r="B211" s="24"/>
      <c r="G211" s="25"/>
    </row>
    <row r="212" ht="12.75" customHeight="1">
      <c r="B212" s="24"/>
      <c r="G212" s="25"/>
    </row>
    <row r="213" ht="12.75" customHeight="1">
      <c r="B213" s="24"/>
      <c r="G213" s="25"/>
    </row>
    <row r="214" ht="12.75" customHeight="1">
      <c r="B214" s="24"/>
      <c r="G214" s="25"/>
    </row>
    <row r="215" ht="12.75" customHeight="1">
      <c r="B215" s="24"/>
      <c r="G215" s="25"/>
    </row>
    <row r="216" ht="12.75" customHeight="1">
      <c r="B216" s="24"/>
      <c r="G216" s="25"/>
    </row>
    <row r="217" ht="12.75" customHeight="1">
      <c r="B217" s="24"/>
      <c r="G217" s="25"/>
    </row>
    <row r="218" ht="12.75" customHeight="1">
      <c r="B218" s="24"/>
      <c r="G218" s="25"/>
    </row>
    <row r="219" ht="12.75" customHeight="1">
      <c r="B219" s="24"/>
      <c r="G219" s="25"/>
    </row>
    <row r="220" ht="12.75" customHeight="1">
      <c r="B220" s="24"/>
      <c r="G220" s="25"/>
    </row>
    <row r="221" ht="12.75" customHeight="1">
      <c r="B221" s="24"/>
      <c r="G221" s="25"/>
    </row>
    <row r="222" ht="12.75" customHeight="1">
      <c r="B222" s="24"/>
      <c r="G222" s="25"/>
    </row>
    <row r="223" ht="12.75" customHeight="1">
      <c r="B223" s="24"/>
      <c r="G223" s="25"/>
    </row>
    <row r="224" ht="12.75" customHeight="1">
      <c r="B224" s="24"/>
      <c r="G224" s="25"/>
    </row>
    <row r="225" ht="12.75" customHeight="1">
      <c r="B225" s="24"/>
      <c r="G225" s="25"/>
    </row>
    <row r="226" ht="12.75" customHeight="1">
      <c r="B226" s="24"/>
      <c r="G226" s="25"/>
    </row>
    <row r="227" ht="12.75" customHeight="1">
      <c r="B227" s="24"/>
      <c r="G227" s="25"/>
    </row>
    <row r="228" ht="12.75" customHeight="1">
      <c r="B228" s="24"/>
      <c r="G228" s="25"/>
    </row>
    <row r="229" ht="12.75" customHeight="1">
      <c r="B229" s="24"/>
      <c r="G229" s="25"/>
    </row>
    <row r="230" ht="12.75" customHeight="1">
      <c r="B230" s="24"/>
      <c r="G230" s="25"/>
    </row>
    <row r="231" ht="12.75" customHeight="1">
      <c r="B231" s="24"/>
      <c r="G231" s="25"/>
    </row>
    <row r="232" ht="12.75" customHeight="1">
      <c r="B232" s="24"/>
      <c r="G232" s="25"/>
    </row>
    <row r="233" ht="12.75" customHeight="1">
      <c r="B233" s="24"/>
      <c r="G233" s="25"/>
    </row>
    <row r="234" ht="12.75" customHeight="1">
      <c r="B234" s="24"/>
      <c r="G234" s="25"/>
    </row>
    <row r="235" ht="12.75" customHeight="1">
      <c r="B235" s="24"/>
      <c r="G235" s="25"/>
    </row>
    <row r="236" ht="12.75" customHeight="1">
      <c r="B236" s="24"/>
      <c r="G236" s="25"/>
    </row>
    <row r="237" ht="12.75" customHeight="1">
      <c r="B237" s="24"/>
      <c r="G237" s="25"/>
    </row>
    <row r="238" ht="12.75" customHeight="1">
      <c r="B238" s="24"/>
      <c r="G238" s="25"/>
    </row>
    <row r="239" ht="12.75" customHeight="1">
      <c r="B239" s="24"/>
      <c r="G239" s="25"/>
    </row>
    <row r="240" ht="12.75" customHeight="1">
      <c r="B240" s="24"/>
      <c r="G240" s="25"/>
    </row>
    <row r="241" ht="12.75" customHeight="1">
      <c r="B241" s="24"/>
      <c r="G241" s="25"/>
    </row>
    <row r="242" ht="12.75" customHeight="1">
      <c r="B242" s="24"/>
      <c r="G242" s="25"/>
    </row>
    <row r="243" ht="12.75" customHeight="1">
      <c r="B243" s="24"/>
      <c r="G243" s="25"/>
    </row>
    <row r="244" ht="12.75" customHeight="1">
      <c r="B244" s="24"/>
      <c r="G244" s="25"/>
    </row>
    <row r="245" ht="12.75" customHeight="1">
      <c r="B245" s="24"/>
      <c r="G245" s="25"/>
    </row>
    <row r="246" ht="12.75" customHeight="1">
      <c r="B246" s="24"/>
      <c r="G246" s="25"/>
    </row>
    <row r="247" ht="12.75" customHeight="1">
      <c r="B247" s="24"/>
      <c r="G247" s="25"/>
    </row>
    <row r="248" ht="12.75" customHeight="1">
      <c r="B248" s="24"/>
      <c r="G248" s="25"/>
    </row>
    <row r="249" ht="12.75" customHeight="1">
      <c r="B249" s="24"/>
      <c r="G249" s="25"/>
    </row>
    <row r="250" ht="12.75" customHeight="1">
      <c r="B250" s="24"/>
      <c r="G250" s="25"/>
    </row>
    <row r="251" ht="12.75" customHeight="1">
      <c r="B251" s="24"/>
      <c r="G251" s="25"/>
    </row>
    <row r="252" ht="12.75" customHeight="1">
      <c r="B252" s="24"/>
      <c r="G252" s="25"/>
    </row>
    <row r="253" ht="12.75" customHeight="1">
      <c r="B253" s="24"/>
      <c r="G253" s="25"/>
    </row>
    <row r="254" ht="12.75" customHeight="1">
      <c r="B254" s="24"/>
      <c r="G254" s="25"/>
    </row>
    <row r="255" ht="12.75" customHeight="1">
      <c r="B255" s="24"/>
      <c r="G255" s="25"/>
    </row>
    <row r="256" ht="12.75" customHeight="1">
      <c r="B256" s="24"/>
      <c r="G256" s="25"/>
    </row>
    <row r="257" ht="12.75" customHeight="1">
      <c r="B257" s="24"/>
      <c r="G257" s="25"/>
    </row>
    <row r="258" ht="12.75" customHeight="1">
      <c r="B258" s="24"/>
      <c r="G258" s="25"/>
    </row>
    <row r="259" ht="12.75" customHeight="1">
      <c r="B259" s="24"/>
      <c r="G259" s="25"/>
    </row>
    <row r="260" ht="12.75" customHeight="1">
      <c r="B260" s="24"/>
      <c r="G260" s="25"/>
    </row>
    <row r="261" ht="12.75" customHeight="1">
      <c r="B261" s="24"/>
      <c r="G261" s="25"/>
    </row>
    <row r="262" ht="12.75" customHeight="1">
      <c r="B262" s="24"/>
      <c r="G262" s="25"/>
    </row>
    <row r="263" ht="12.75" customHeight="1">
      <c r="B263" s="24"/>
      <c r="G263" s="25"/>
    </row>
    <row r="264" ht="12.75" customHeight="1">
      <c r="B264" s="24"/>
      <c r="G264" s="25"/>
    </row>
    <row r="265" ht="12.75" customHeight="1">
      <c r="B265" s="24"/>
      <c r="G265" s="25"/>
    </row>
    <row r="266" ht="12.75" customHeight="1">
      <c r="B266" s="24"/>
      <c r="G266" s="25"/>
    </row>
    <row r="267" ht="12.75" customHeight="1">
      <c r="B267" s="24"/>
      <c r="G267" s="25"/>
    </row>
    <row r="268" ht="12.75" customHeight="1">
      <c r="B268" s="24"/>
      <c r="G268" s="25"/>
    </row>
    <row r="269" ht="12.75" customHeight="1">
      <c r="B269" s="24"/>
      <c r="G269" s="25"/>
    </row>
    <row r="270" ht="12.75" customHeight="1">
      <c r="B270" s="24"/>
      <c r="G270" s="25"/>
    </row>
    <row r="271" ht="12.75" customHeight="1">
      <c r="B271" s="24"/>
      <c r="G271" s="25"/>
    </row>
    <row r="272" ht="12.75" customHeight="1">
      <c r="B272" s="24"/>
      <c r="G272" s="25"/>
    </row>
    <row r="273" ht="12.75" customHeight="1">
      <c r="B273" s="24"/>
      <c r="G273" s="25"/>
    </row>
    <row r="274" ht="12.75" customHeight="1">
      <c r="B274" s="24"/>
      <c r="G274" s="25"/>
    </row>
    <row r="275" ht="12.75" customHeight="1">
      <c r="B275" s="24"/>
      <c r="G275" s="25"/>
    </row>
    <row r="276" ht="12.75" customHeight="1">
      <c r="B276" s="24"/>
      <c r="G276" s="25"/>
    </row>
    <row r="277" ht="12.75" customHeight="1">
      <c r="B277" s="24"/>
      <c r="G277" s="25"/>
    </row>
    <row r="278" ht="12.75" customHeight="1">
      <c r="B278" s="24"/>
      <c r="G278" s="25"/>
    </row>
    <row r="279" ht="12.75" customHeight="1">
      <c r="B279" s="24"/>
      <c r="G279" s="25"/>
    </row>
    <row r="280" ht="12.75" customHeight="1">
      <c r="B280" s="24"/>
      <c r="G280" s="25"/>
    </row>
    <row r="281" ht="12.75" customHeight="1">
      <c r="B281" s="24"/>
      <c r="G281" s="25"/>
    </row>
    <row r="282" ht="12.75" customHeight="1">
      <c r="B282" s="24"/>
      <c r="G282" s="25"/>
    </row>
    <row r="283" ht="12.75" customHeight="1">
      <c r="B283" s="24"/>
      <c r="G283" s="25"/>
    </row>
    <row r="284" ht="12.75" customHeight="1">
      <c r="B284" s="24"/>
      <c r="G284" s="25"/>
    </row>
    <row r="285" ht="12.75" customHeight="1">
      <c r="B285" s="24"/>
      <c r="G285" s="25"/>
    </row>
    <row r="286" ht="12.75" customHeight="1">
      <c r="B286" s="24"/>
      <c r="G286" s="25"/>
    </row>
    <row r="287" ht="12.75" customHeight="1">
      <c r="B287" s="24"/>
      <c r="G287" s="25"/>
    </row>
    <row r="288" ht="12.75" customHeight="1">
      <c r="B288" s="24"/>
      <c r="G288" s="25"/>
    </row>
    <row r="289" ht="12.75" customHeight="1">
      <c r="B289" s="24"/>
      <c r="G289" s="25"/>
    </row>
    <row r="290" ht="12.75" customHeight="1">
      <c r="B290" s="24"/>
      <c r="G290" s="25"/>
    </row>
    <row r="291" ht="12.75" customHeight="1">
      <c r="B291" s="24"/>
      <c r="G291" s="25"/>
    </row>
    <row r="292" ht="12.75" customHeight="1">
      <c r="B292" s="24"/>
      <c r="G292" s="25"/>
    </row>
    <row r="293" ht="12.75" customHeight="1">
      <c r="B293" s="24"/>
      <c r="G293" s="25"/>
    </row>
    <row r="294" ht="12.75" customHeight="1">
      <c r="B294" s="24"/>
      <c r="G294" s="25"/>
    </row>
    <row r="295" ht="12.75" customHeight="1">
      <c r="B295" s="24"/>
      <c r="G295" s="25"/>
    </row>
    <row r="296" ht="12.75" customHeight="1">
      <c r="B296" s="24"/>
      <c r="G296" s="25"/>
    </row>
    <row r="297" ht="12.75" customHeight="1">
      <c r="B297" s="24"/>
      <c r="G297" s="25"/>
    </row>
    <row r="298" ht="12.75" customHeight="1">
      <c r="B298" s="24"/>
      <c r="G298" s="25"/>
    </row>
    <row r="299" ht="12.75" customHeight="1">
      <c r="B299" s="24"/>
      <c r="G299" s="25"/>
    </row>
    <row r="300" ht="12.75" customHeight="1">
      <c r="B300" s="24"/>
      <c r="G300" s="25"/>
    </row>
    <row r="301" ht="12.75" customHeight="1">
      <c r="B301" s="24"/>
      <c r="G301" s="25"/>
    </row>
    <row r="302" ht="12.75" customHeight="1">
      <c r="B302" s="24"/>
      <c r="G302" s="25"/>
    </row>
    <row r="303" ht="12.75" customHeight="1">
      <c r="B303" s="24"/>
      <c r="G303" s="25"/>
    </row>
    <row r="304" ht="12.75" customHeight="1">
      <c r="B304" s="24"/>
      <c r="G304" s="25"/>
    </row>
    <row r="305" ht="12.75" customHeight="1">
      <c r="B305" s="24"/>
      <c r="G305" s="25"/>
    </row>
    <row r="306" ht="12.75" customHeight="1">
      <c r="B306" s="24"/>
      <c r="G306" s="25"/>
    </row>
    <row r="307" ht="12.75" customHeight="1">
      <c r="B307" s="24"/>
      <c r="G307" s="25"/>
    </row>
    <row r="308" ht="12.75" customHeight="1">
      <c r="B308" s="24"/>
      <c r="G308" s="25"/>
    </row>
    <row r="309" ht="12.75" customHeight="1">
      <c r="B309" s="24"/>
      <c r="G309" s="25"/>
    </row>
    <row r="310" ht="12.75" customHeight="1">
      <c r="B310" s="24"/>
      <c r="G310" s="25"/>
    </row>
    <row r="311" ht="12.75" customHeight="1">
      <c r="B311" s="24"/>
      <c r="G311" s="25"/>
    </row>
    <row r="312" ht="12.75" customHeight="1">
      <c r="B312" s="24"/>
      <c r="G312" s="25"/>
    </row>
    <row r="313" ht="12.75" customHeight="1">
      <c r="B313" s="24"/>
      <c r="G313" s="25"/>
    </row>
    <row r="314" ht="12.75" customHeight="1">
      <c r="B314" s="24"/>
      <c r="G314" s="25"/>
    </row>
    <row r="315" ht="12.75" customHeight="1">
      <c r="B315" s="24"/>
      <c r="G315" s="25"/>
    </row>
    <row r="316" ht="12.75" customHeight="1">
      <c r="B316" s="24"/>
      <c r="G316" s="25"/>
    </row>
    <row r="317" ht="12.75" customHeight="1">
      <c r="B317" s="24"/>
      <c r="G317" s="25"/>
    </row>
    <row r="318" ht="12.75" customHeight="1">
      <c r="B318" s="24"/>
      <c r="G318" s="25"/>
    </row>
    <row r="319" ht="12.75" customHeight="1">
      <c r="B319" s="24"/>
      <c r="G319" s="25"/>
    </row>
    <row r="320" ht="12.75" customHeight="1">
      <c r="B320" s="24"/>
      <c r="G320" s="25"/>
    </row>
    <row r="321" ht="12.75" customHeight="1">
      <c r="B321" s="24"/>
      <c r="G321" s="25"/>
    </row>
    <row r="322" ht="12.75" customHeight="1">
      <c r="B322" s="24"/>
      <c r="G322" s="25"/>
    </row>
    <row r="323" ht="12.75" customHeight="1">
      <c r="B323" s="24"/>
      <c r="G323" s="25"/>
    </row>
    <row r="324" ht="12.75" customHeight="1">
      <c r="B324" s="24"/>
      <c r="G324" s="25"/>
    </row>
    <row r="325" ht="12.75" customHeight="1">
      <c r="B325" s="24"/>
      <c r="G325" s="25"/>
    </row>
    <row r="326" ht="12.75" customHeight="1">
      <c r="B326" s="24"/>
      <c r="G326" s="25"/>
    </row>
    <row r="327" ht="12.75" customHeight="1">
      <c r="B327" s="24"/>
      <c r="G327" s="25"/>
    </row>
    <row r="328" ht="12.75" customHeight="1">
      <c r="B328" s="24"/>
      <c r="G328" s="25"/>
    </row>
    <row r="329" ht="12.75" customHeight="1">
      <c r="B329" s="24"/>
      <c r="G329" s="25"/>
    </row>
    <row r="330" ht="12.75" customHeight="1">
      <c r="B330" s="24"/>
      <c r="G330" s="25"/>
    </row>
    <row r="331" ht="12.75" customHeight="1">
      <c r="B331" s="24"/>
      <c r="G331" s="25"/>
    </row>
    <row r="332" ht="12.75" customHeight="1">
      <c r="B332" s="24"/>
      <c r="G332" s="25"/>
    </row>
    <row r="333" ht="12.75" customHeight="1">
      <c r="B333" s="24"/>
      <c r="G333" s="25"/>
    </row>
    <row r="334" ht="12.75" customHeight="1">
      <c r="B334" s="24"/>
      <c r="G334" s="25"/>
    </row>
    <row r="335" ht="12.75" customHeight="1">
      <c r="B335" s="24"/>
      <c r="G335" s="25"/>
    </row>
    <row r="336" ht="12.75" customHeight="1">
      <c r="B336" s="24"/>
      <c r="G336" s="25"/>
    </row>
    <row r="337" ht="12.75" customHeight="1">
      <c r="B337" s="24"/>
      <c r="G337" s="25"/>
    </row>
    <row r="338" ht="12.75" customHeight="1">
      <c r="B338" s="24"/>
      <c r="G338" s="25"/>
    </row>
    <row r="339" ht="12.75" customHeight="1">
      <c r="B339" s="24"/>
      <c r="G339" s="25"/>
    </row>
    <row r="340" ht="12.75" customHeight="1">
      <c r="B340" s="24"/>
      <c r="G340" s="25"/>
    </row>
    <row r="341" ht="12.75" customHeight="1">
      <c r="B341" s="24"/>
      <c r="G341" s="25"/>
    </row>
    <row r="342" ht="12.75" customHeight="1">
      <c r="B342" s="24"/>
      <c r="G342" s="25"/>
    </row>
    <row r="343" ht="12.75" customHeight="1">
      <c r="B343" s="24"/>
      <c r="G343" s="25"/>
    </row>
    <row r="344" ht="12.75" customHeight="1">
      <c r="B344" s="24"/>
      <c r="G344" s="25"/>
    </row>
    <row r="345" ht="12.75" customHeight="1">
      <c r="B345" s="24"/>
      <c r="G345" s="25"/>
    </row>
    <row r="346" ht="12.75" customHeight="1">
      <c r="B346" s="24"/>
      <c r="G346" s="25"/>
    </row>
    <row r="347" ht="12.75" customHeight="1">
      <c r="B347" s="24"/>
      <c r="G347" s="25"/>
    </row>
    <row r="348" ht="12.75" customHeight="1">
      <c r="B348" s="24"/>
      <c r="G348" s="25"/>
    </row>
    <row r="349" ht="12.75" customHeight="1">
      <c r="B349" s="24"/>
      <c r="G349" s="25"/>
    </row>
    <row r="350" ht="12.75" customHeight="1">
      <c r="B350" s="24"/>
      <c r="G350" s="25"/>
    </row>
    <row r="351" ht="12.75" customHeight="1">
      <c r="B351" s="24"/>
      <c r="G351" s="25"/>
    </row>
    <row r="352" ht="12.75" customHeight="1">
      <c r="B352" s="24"/>
      <c r="G352" s="25"/>
    </row>
    <row r="353" ht="12.75" customHeight="1">
      <c r="B353" s="24"/>
      <c r="G353" s="25"/>
    </row>
    <row r="354" ht="12.75" customHeight="1">
      <c r="B354" s="24"/>
      <c r="G354" s="25"/>
    </row>
    <row r="355" ht="12.75" customHeight="1">
      <c r="B355" s="24"/>
      <c r="G355" s="25"/>
    </row>
    <row r="356" ht="12.75" customHeight="1">
      <c r="B356" s="24"/>
      <c r="G356" s="25"/>
    </row>
    <row r="357" ht="12.75" customHeight="1">
      <c r="B357" s="24"/>
      <c r="G357" s="25"/>
    </row>
    <row r="358" ht="12.75" customHeight="1">
      <c r="B358" s="24"/>
      <c r="G358" s="25"/>
    </row>
    <row r="359" ht="12.75" customHeight="1">
      <c r="B359" s="24"/>
      <c r="G359" s="25"/>
    </row>
    <row r="360" ht="12.75" customHeight="1">
      <c r="B360" s="24"/>
      <c r="G360" s="25"/>
    </row>
    <row r="361" ht="12.75" customHeight="1">
      <c r="B361" s="24"/>
      <c r="G361" s="25"/>
    </row>
    <row r="362" ht="12.75" customHeight="1">
      <c r="B362" s="24"/>
      <c r="G362" s="25"/>
    </row>
    <row r="363" ht="12.75" customHeight="1">
      <c r="B363" s="24"/>
      <c r="G363" s="25"/>
    </row>
    <row r="364" ht="12.75" customHeight="1">
      <c r="B364" s="24"/>
      <c r="G364" s="25"/>
    </row>
    <row r="365" ht="12.75" customHeight="1">
      <c r="B365" s="24"/>
      <c r="G365" s="25"/>
    </row>
    <row r="366" ht="12.75" customHeight="1">
      <c r="B366" s="24"/>
      <c r="G366" s="25"/>
    </row>
    <row r="367" ht="12.75" customHeight="1">
      <c r="B367" s="24"/>
      <c r="G367" s="25"/>
    </row>
    <row r="368" ht="12.75" customHeight="1">
      <c r="B368" s="24"/>
      <c r="G368" s="25"/>
    </row>
    <row r="369" ht="12.75" customHeight="1">
      <c r="B369" s="24"/>
      <c r="G369" s="25"/>
    </row>
    <row r="370" ht="12.75" customHeight="1">
      <c r="B370" s="24"/>
      <c r="G370" s="25"/>
    </row>
    <row r="371" ht="12.75" customHeight="1">
      <c r="B371" s="24"/>
      <c r="G371" s="25"/>
    </row>
    <row r="372" ht="12.75" customHeight="1">
      <c r="B372" s="24"/>
      <c r="G372" s="25"/>
    </row>
    <row r="373" ht="12.75" customHeight="1">
      <c r="B373" s="24"/>
      <c r="G373" s="25"/>
    </row>
    <row r="374" ht="12.75" customHeight="1">
      <c r="B374" s="24"/>
      <c r="G374" s="25"/>
    </row>
    <row r="375" ht="12.75" customHeight="1">
      <c r="B375" s="24"/>
      <c r="G375" s="25"/>
    </row>
    <row r="376" ht="12.75" customHeight="1">
      <c r="B376" s="24"/>
      <c r="G376" s="25"/>
    </row>
    <row r="377" ht="12.75" customHeight="1">
      <c r="B377" s="24"/>
      <c r="G377" s="25"/>
    </row>
    <row r="378" ht="12.75" customHeight="1">
      <c r="B378" s="24"/>
      <c r="G378" s="25"/>
    </row>
    <row r="379" ht="12.75" customHeight="1">
      <c r="B379" s="24"/>
      <c r="G379" s="25"/>
    </row>
    <row r="380" ht="12.75" customHeight="1">
      <c r="B380" s="24"/>
      <c r="G380" s="25"/>
    </row>
    <row r="381" ht="12.75" customHeight="1">
      <c r="B381" s="24"/>
      <c r="G381" s="25"/>
    </row>
    <row r="382" ht="12.75" customHeight="1">
      <c r="B382" s="24"/>
      <c r="G382" s="25"/>
    </row>
    <row r="383" ht="12.75" customHeight="1">
      <c r="B383" s="24"/>
      <c r="G383" s="25"/>
    </row>
    <row r="384" ht="12.75" customHeight="1">
      <c r="B384" s="24"/>
      <c r="G384" s="25"/>
    </row>
    <row r="385" ht="12.75" customHeight="1">
      <c r="B385" s="24"/>
      <c r="G385" s="25"/>
    </row>
    <row r="386" ht="12.75" customHeight="1">
      <c r="B386" s="24"/>
      <c r="G386" s="25"/>
    </row>
    <row r="387" ht="12.75" customHeight="1">
      <c r="B387" s="24"/>
      <c r="G387" s="25"/>
    </row>
    <row r="388" ht="12.75" customHeight="1">
      <c r="B388" s="24"/>
      <c r="G388" s="25"/>
    </row>
    <row r="389" ht="12.75" customHeight="1">
      <c r="B389" s="24"/>
      <c r="G389" s="25"/>
    </row>
    <row r="390" ht="12.75" customHeight="1">
      <c r="B390" s="24"/>
      <c r="G390" s="25"/>
    </row>
    <row r="391" ht="12.75" customHeight="1">
      <c r="B391" s="24"/>
      <c r="G391" s="25"/>
    </row>
    <row r="392" ht="12.75" customHeight="1">
      <c r="B392" s="24"/>
      <c r="G392" s="25"/>
    </row>
    <row r="393" ht="12.75" customHeight="1">
      <c r="B393" s="24"/>
      <c r="G393" s="25"/>
    </row>
    <row r="394" ht="12.75" customHeight="1">
      <c r="B394" s="24"/>
      <c r="G394" s="25"/>
    </row>
    <row r="395" ht="12.75" customHeight="1">
      <c r="B395" s="24"/>
      <c r="G395" s="25"/>
    </row>
    <row r="396" ht="12.75" customHeight="1">
      <c r="B396" s="24"/>
      <c r="G396" s="25"/>
    </row>
    <row r="397" ht="12.75" customHeight="1">
      <c r="B397" s="24"/>
      <c r="G397" s="25"/>
    </row>
    <row r="398" ht="12.75" customHeight="1">
      <c r="B398" s="24"/>
      <c r="G398" s="25"/>
    </row>
    <row r="399" ht="12.75" customHeight="1">
      <c r="B399" s="24"/>
      <c r="G399" s="25"/>
    </row>
    <row r="400" ht="12.75" customHeight="1">
      <c r="B400" s="24"/>
      <c r="G400" s="25"/>
    </row>
    <row r="401" ht="12.75" customHeight="1">
      <c r="B401" s="24"/>
      <c r="G401" s="25"/>
    </row>
    <row r="402" ht="12.75" customHeight="1">
      <c r="B402" s="24"/>
      <c r="G402" s="25"/>
    </row>
    <row r="403" ht="12.75" customHeight="1">
      <c r="B403" s="24"/>
      <c r="G403" s="25"/>
    </row>
    <row r="404" ht="12.75" customHeight="1">
      <c r="B404" s="24"/>
      <c r="G404" s="25"/>
    </row>
    <row r="405" ht="12.75" customHeight="1">
      <c r="B405" s="24"/>
      <c r="G405" s="25"/>
    </row>
    <row r="406" ht="12.75" customHeight="1">
      <c r="B406" s="24"/>
      <c r="G406" s="25"/>
    </row>
    <row r="407" ht="12.75" customHeight="1">
      <c r="B407" s="24"/>
      <c r="G407" s="25"/>
    </row>
    <row r="408" ht="12.75" customHeight="1">
      <c r="B408" s="24"/>
      <c r="G408" s="25"/>
    </row>
    <row r="409" ht="12.75" customHeight="1">
      <c r="B409" s="24"/>
      <c r="G409" s="25"/>
    </row>
    <row r="410" ht="12.75" customHeight="1">
      <c r="B410" s="24"/>
      <c r="G410" s="25"/>
    </row>
    <row r="411" ht="12.75" customHeight="1">
      <c r="B411" s="24"/>
      <c r="G411" s="25"/>
    </row>
    <row r="412" ht="12.75" customHeight="1">
      <c r="B412" s="24"/>
      <c r="G412" s="25"/>
    </row>
    <row r="413" ht="12.75" customHeight="1">
      <c r="B413" s="24"/>
      <c r="G413" s="25"/>
    </row>
    <row r="414" ht="12.75" customHeight="1">
      <c r="B414" s="24"/>
      <c r="G414" s="25"/>
    </row>
    <row r="415" ht="12.75" customHeight="1">
      <c r="B415" s="24"/>
      <c r="G415" s="25"/>
    </row>
    <row r="416" ht="12.75" customHeight="1">
      <c r="B416" s="24"/>
      <c r="G416" s="25"/>
    </row>
    <row r="417" ht="12.75" customHeight="1">
      <c r="B417" s="24"/>
      <c r="G417" s="25"/>
    </row>
    <row r="418" ht="12.75" customHeight="1">
      <c r="B418" s="24"/>
      <c r="G418" s="25"/>
    </row>
    <row r="419" ht="12.75" customHeight="1">
      <c r="B419" s="24"/>
      <c r="G419" s="25"/>
    </row>
    <row r="420" ht="12.75" customHeight="1">
      <c r="B420" s="24"/>
      <c r="G420" s="25"/>
    </row>
    <row r="421" ht="12.75" customHeight="1">
      <c r="B421" s="24"/>
      <c r="G421" s="25"/>
    </row>
    <row r="422" ht="12.75" customHeight="1">
      <c r="B422" s="24"/>
      <c r="G422" s="25"/>
    </row>
    <row r="423" ht="12.75" customHeight="1">
      <c r="B423" s="24"/>
      <c r="G423" s="25"/>
    </row>
    <row r="424" ht="12.75" customHeight="1">
      <c r="B424" s="24"/>
      <c r="G424" s="25"/>
    </row>
    <row r="425" ht="12.75" customHeight="1">
      <c r="B425" s="24"/>
      <c r="G425" s="25"/>
    </row>
    <row r="426" ht="12.75" customHeight="1">
      <c r="B426" s="24"/>
      <c r="G426" s="25"/>
    </row>
    <row r="427" ht="12.75" customHeight="1">
      <c r="B427" s="24"/>
      <c r="G427" s="25"/>
    </row>
    <row r="428" ht="12.75" customHeight="1">
      <c r="B428" s="24"/>
      <c r="G428" s="25"/>
    </row>
    <row r="429" ht="12.75" customHeight="1">
      <c r="B429" s="24"/>
      <c r="G429" s="25"/>
    </row>
    <row r="430" ht="12.75" customHeight="1">
      <c r="B430" s="24"/>
      <c r="G430" s="25"/>
    </row>
    <row r="431" ht="12.75" customHeight="1">
      <c r="B431" s="24"/>
      <c r="G431" s="25"/>
    </row>
    <row r="432" ht="12.75" customHeight="1">
      <c r="B432" s="24"/>
      <c r="G432" s="25"/>
    </row>
    <row r="433" ht="12.75" customHeight="1">
      <c r="B433" s="24"/>
      <c r="G433" s="25"/>
    </row>
    <row r="434" ht="12.75" customHeight="1">
      <c r="B434" s="24"/>
      <c r="G434" s="25"/>
    </row>
    <row r="435" ht="12.75" customHeight="1">
      <c r="B435" s="24"/>
      <c r="G435" s="25"/>
    </row>
    <row r="436" ht="12.75" customHeight="1">
      <c r="B436" s="24"/>
      <c r="G436" s="25"/>
    </row>
    <row r="437" ht="12.75" customHeight="1">
      <c r="B437" s="24"/>
      <c r="G437" s="25"/>
    </row>
    <row r="438" ht="12.75" customHeight="1">
      <c r="B438" s="24"/>
      <c r="G438" s="25"/>
    </row>
    <row r="439" ht="12.75" customHeight="1">
      <c r="B439" s="24"/>
      <c r="G439" s="25"/>
    </row>
    <row r="440" ht="12.75" customHeight="1">
      <c r="B440" s="24"/>
      <c r="G440" s="25"/>
    </row>
    <row r="441" ht="12.75" customHeight="1">
      <c r="B441" s="24"/>
      <c r="G441" s="25"/>
    </row>
    <row r="442" ht="12.75" customHeight="1">
      <c r="B442" s="24"/>
      <c r="G442" s="25"/>
    </row>
    <row r="443" ht="12.75" customHeight="1">
      <c r="B443" s="24"/>
      <c r="G443" s="25"/>
    </row>
    <row r="444" ht="12.75" customHeight="1">
      <c r="B444" s="24"/>
      <c r="G444" s="25"/>
    </row>
    <row r="445" ht="12.75" customHeight="1">
      <c r="B445" s="24"/>
      <c r="G445" s="25"/>
    </row>
    <row r="446" ht="12.75" customHeight="1">
      <c r="B446" s="24"/>
      <c r="G446" s="25"/>
    </row>
    <row r="447" ht="12.75" customHeight="1">
      <c r="B447" s="24"/>
      <c r="G447" s="25"/>
    </row>
    <row r="448" ht="12.75" customHeight="1">
      <c r="B448" s="24"/>
      <c r="G448" s="25"/>
    </row>
    <row r="449" ht="12.75" customHeight="1">
      <c r="B449" s="24"/>
      <c r="G449" s="25"/>
    </row>
    <row r="450" ht="12.75" customHeight="1">
      <c r="B450" s="24"/>
      <c r="G450" s="25"/>
    </row>
    <row r="451" ht="12.75" customHeight="1">
      <c r="B451" s="24"/>
      <c r="G451" s="25"/>
    </row>
    <row r="452" ht="12.75" customHeight="1">
      <c r="B452" s="24"/>
      <c r="G452" s="25"/>
    </row>
    <row r="453" ht="12.75" customHeight="1">
      <c r="B453" s="24"/>
      <c r="G453" s="25"/>
    </row>
    <row r="454" ht="12.75" customHeight="1">
      <c r="B454" s="24"/>
      <c r="G454" s="25"/>
    </row>
    <row r="455" ht="12.75" customHeight="1">
      <c r="B455" s="24"/>
      <c r="G455" s="25"/>
    </row>
    <row r="456" ht="12.75" customHeight="1">
      <c r="B456" s="24"/>
      <c r="G456" s="25"/>
    </row>
    <row r="457" ht="12.75" customHeight="1">
      <c r="B457" s="24"/>
      <c r="G457" s="25"/>
    </row>
    <row r="458" ht="12.75" customHeight="1">
      <c r="B458" s="24"/>
      <c r="G458" s="25"/>
    </row>
    <row r="459" ht="12.75" customHeight="1">
      <c r="B459" s="24"/>
      <c r="G459" s="25"/>
    </row>
    <row r="460" ht="12.75" customHeight="1">
      <c r="B460" s="24"/>
      <c r="G460" s="25"/>
    </row>
    <row r="461" ht="12.75" customHeight="1">
      <c r="B461" s="24"/>
      <c r="G461" s="25"/>
    </row>
    <row r="462" ht="12.75" customHeight="1">
      <c r="B462" s="24"/>
      <c r="G462" s="25"/>
    </row>
    <row r="463" ht="12.75" customHeight="1">
      <c r="B463" s="24"/>
      <c r="G463" s="25"/>
    </row>
    <row r="464" ht="12.75" customHeight="1">
      <c r="B464" s="24"/>
      <c r="G464" s="25"/>
    </row>
    <row r="465" ht="12.75" customHeight="1">
      <c r="B465" s="24"/>
      <c r="G465" s="25"/>
    </row>
    <row r="466" ht="12.75" customHeight="1">
      <c r="B466" s="24"/>
      <c r="G466" s="25"/>
    </row>
    <row r="467" ht="12.75" customHeight="1">
      <c r="B467" s="24"/>
      <c r="G467" s="25"/>
    </row>
    <row r="468" ht="12.75" customHeight="1">
      <c r="B468" s="24"/>
      <c r="G468" s="25"/>
    </row>
    <row r="469" ht="12.75" customHeight="1">
      <c r="B469" s="24"/>
      <c r="G469" s="25"/>
    </row>
    <row r="470" ht="12.75" customHeight="1">
      <c r="B470" s="24"/>
      <c r="G470" s="25"/>
    </row>
    <row r="471" ht="12.75" customHeight="1">
      <c r="B471" s="24"/>
      <c r="G471" s="25"/>
    </row>
    <row r="472" ht="12.75" customHeight="1">
      <c r="B472" s="24"/>
      <c r="G472" s="25"/>
    </row>
    <row r="473" ht="12.75" customHeight="1">
      <c r="B473" s="24"/>
      <c r="G473" s="25"/>
    </row>
    <row r="474" ht="12.75" customHeight="1">
      <c r="B474" s="24"/>
      <c r="G474" s="25"/>
    </row>
    <row r="475" ht="12.75" customHeight="1">
      <c r="B475" s="24"/>
      <c r="G475" s="25"/>
    </row>
    <row r="476" ht="12.75" customHeight="1">
      <c r="B476" s="24"/>
      <c r="G476" s="25"/>
    </row>
    <row r="477" ht="12.75" customHeight="1">
      <c r="B477" s="24"/>
      <c r="G477" s="25"/>
    </row>
    <row r="478" ht="12.75" customHeight="1">
      <c r="B478" s="24"/>
      <c r="G478" s="25"/>
    </row>
    <row r="479" ht="12.75" customHeight="1">
      <c r="B479" s="24"/>
      <c r="G479" s="25"/>
    </row>
    <row r="480" ht="12.75" customHeight="1">
      <c r="B480" s="24"/>
      <c r="G480" s="25"/>
    </row>
    <row r="481" ht="12.75" customHeight="1">
      <c r="B481" s="24"/>
      <c r="G481" s="25"/>
    </row>
    <row r="482" ht="12.75" customHeight="1">
      <c r="B482" s="24"/>
      <c r="G482" s="25"/>
    </row>
    <row r="483" ht="12.75" customHeight="1">
      <c r="B483" s="24"/>
      <c r="G483" s="25"/>
    </row>
    <row r="484" ht="12.75" customHeight="1">
      <c r="B484" s="24"/>
      <c r="G484" s="25"/>
    </row>
    <row r="485" ht="12.75" customHeight="1">
      <c r="B485" s="24"/>
      <c r="G485" s="25"/>
    </row>
    <row r="486" ht="12.75" customHeight="1">
      <c r="B486" s="24"/>
      <c r="G486" s="25"/>
    </row>
    <row r="487" ht="12.75" customHeight="1">
      <c r="B487" s="24"/>
      <c r="G487" s="25"/>
    </row>
    <row r="488" ht="12.75" customHeight="1">
      <c r="B488" s="24"/>
      <c r="G488" s="25"/>
    </row>
    <row r="489" ht="12.75" customHeight="1">
      <c r="B489" s="24"/>
      <c r="G489" s="25"/>
    </row>
    <row r="490" ht="12.75" customHeight="1">
      <c r="B490" s="24"/>
      <c r="G490" s="25"/>
    </row>
    <row r="491" ht="12.75" customHeight="1">
      <c r="B491" s="24"/>
      <c r="G491" s="25"/>
    </row>
    <row r="492" ht="12.75" customHeight="1">
      <c r="B492" s="24"/>
      <c r="G492" s="25"/>
    </row>
    <row r="493" ht="12.75" customHeight="1">
      <c r="B493" s="24"/>
      <c r="G493" s="25"/>
    </row>
    <row r="494" ht="12.75" customHeight="1">
      <c r="B494" s="24"/>
      <c r="G494" s="25"/>
    </row>
    <row r="495" ht="12.75" customHeight="1">
      <c r="B495" s="24"/>
      <c r="G495" s="25"/>
    </row>
    <row r="496" ht="12.75" customHeight="1">
      <c r="B496" s="24"/>
      <c r="G496" s="25"/>
    </row>
    <row r="497" ht="12.75" customHeight="1">
      <c r="B497" s="24"/>
      <c r="G497" s="25"/>
    </row>
    <row r="498" ht="12.75" customHeight="1">
      <c r="B498" s="24"/>
      <c r="G498" s="25"/>
    </row>
    <row r="499" ht="12.75" customHeight="1">
      <c r="B499" s="24"/>
      <c r="G499" s="25"/>
    </row>
    <row r="500" ht="12.75" customHeight="1">
      <c r="B500" s="24"/>
      <c r="G500" s="25"/>
    </row>
    <row r="501" ht="12.75" customHeight="1">
      <c r="B501" s="24"/>
      <c r="G501" s="25"/>
    </row>
    <row r="502" ht="12.75" customHeight="1">
      <c r="B502" s="24"/>
      <c r="G502" s="25"/>
    </row>
    <row r="503" ht="12.75" customHeight="1">
      <c r="B503" s="24"/>
      <c r="G503" s="25"/>
    </row>
    <row r="504" ht="12.75" customHeight="1">
      <c r="B504" s="24"/>
      <c r="G504" s="25"/>
    </row>
    <row r="505" ht="12.75" customHeight="1">
      <c r="B505" s="24"/>
      <c r="G505" s="25"/>
    </row>
    <row r="506" ht="12.75" customHeight="1">
      <c r="B506" s="24"/>
      <c r="G506" s="25"/>
    </row>
    <row r="507" ht="12.75" customHeight="1">
      <c r="B507" s="24"/>
      <c r="G507" s="25"/>
    </row>
    <row r="508" ht="12.75" customHeight="1">
      <c r="B508" s="24"/>
      <c r="G508" s="25"/>
    </row>
    <row r="509" ht="12.75" customHeight="1">
      <c r="B509" s="24"/>
      <c r="G509" s="25"/>
    </row>
    <row r="510" ht="12.75" customHeight="1">
      <c r="B510" s="24"/>
      <c r="G510" s="25"/>
    </row>
    <row r="511" ht="12.75" customHeight="1">
      <c r="B511" s="24"/>
      <c r="G511" s="25"/>
    </row>
    <row r="512" ht="12.75" customHeight="1">
      <c r="B512" s="24"/>
      <c r="G512" s="25"/>
    </row>
    <row r="513" ht="12.75" customHeight="1">
      <c r="B513" s="24"/>
      <c r="G513" s="25"/>
    </row>
    <row r="514" ht="12.75" customHeight="1">
      <c r="B514" s="24"/>
      <c r="G514" s="25"/>
    </row>
    <row r="515" ht="12.75" customHeight="1">
      <c r="B515" s="24"/>
      <c r="G515" s="25"/>
    </row>
    <row r="516" ht="12.75" customHeight="1">
      <c r="B516" s="24"/>
      <c r="G516" s="25"/>
    </row>
    <row r="517" ht="12.75" customHeight="1">
      <c r="B517" s="24"/>
      <c r="G517" s="25"/>
    </row>
    <row r="518" ht="12.75" customHeight="1">
      <c r="B518" s="24"/>
      <c r="G518" s="25"/>
    </row>
    <row r="519" ht="12.75" customHeight="1">
      <c r="B519" s="24"/>
      <c r="G519" s="25"/>
    </row>
    <row r="520" ht="12.75" customHeight="1">
      <c r="B520" s="24"/>
      <c r="G520" s="25"/>
    </row>
    <row r="521" ht="12.75" customHeight="1">
      <c r="B521" s="24"/>
      <c r="G521" s="25"/>
    </row>
    <row r="522" ht="12.75" customHeight="1">
      <c r="B522" s="24"/>
      <c r="G522" s="25"/>
    </row>
    <row r="523" ht="12.75" customHeight="1">
      <c r="B523" s="24"/>
      <c r="G523" s="25"/>
    </row>
    <row r="524" ht="12.75" customHeight="1">
      <c r="B524" s="24"/>
      <c r="G524" s="25"/>
    </row>
    <row r="525" ht="12.75" customHeight="1">
      <c r="B525" s="24"/>
      <c r="G525" s="25"/>
    </row>
    <row r="526" ht="12.75" customHeight="1">
      <c r="B526" s="24"/>
      <c r="G526" s="25"/>
    </row>
    <row r="527" ht="12.75" customHeight="1">
      <c r="B527" s="24"/>
      <c r="G527" s="25"/>
    </row>
    <row r="528" ht="12.75" customHeight="1">
      <c r="B528" s="24"/>
      <c r="G528" s="25"/>
    </row>
    <row r="529" ht="12.75" customHeight="1">
      <c r="B529" s="24"/>
      <c r="G529" s="25"/>
    </row>
    <row r="530" ht="12.75" customHeight="1">
      <c r="B530" s="24"/>
      <c r="G530" s="25"/>
    </row>
    <row r="531" ht="12.75" customHeight="1">
      <c r="B531" s="24"/>
      <c r="G531" s="25"/>
    </row>
    <row r="532" ht="12.75" customHeight="1">
      <c r="B532" s="24"/>
      <c r="G532" s="25"/>
    </row>
    <row r="533" ht="12.75" customHeight="1">
      <c r="B533" s="24"/>
      <c r="G533" s="25"/>
    </row>
    <row r="534" ht="12.75" customHeight="1">
      <c r="B534" s="24"/>
      <c r="G534" s="25"/>
    </row>
    <row r="535" ht="12.75" customHeight="1">
      <c r="B535" s="24"/>
      <c r="G535" s="25"/>
    </row>
    <row r="536" ht="12.75" customHeight="1">
      <c r="B536" s="24"/>
      <c r="G536" s="25"/>
    </row>
    <row r="537" ht="12.75" customHeight="1">
      <c r="B537" s="24"/>
      <c r="G537" s="25"/>
    </row>
    <row r="538" ht="12.75" customHeight="1">
      <c r="B538" s="24"/>
      <c r="G538" s="25"/>
    </row>
    <row r="539" ht="12.75" customHeight="1">
      <c r="B539" s="24"/>
      <c r="G539" s="25"/>
    </row>
    <row r="540" ht="12.75" customHeight="1">
      <c r="B540" s="24"/>
      <c r="G540" s="25"/>
    </row>
    <row r="541" ht="12.75" customHeight="1">
      <c r="B541" s="24"/>
      <c r="G541" s="25"/>
    </row>
    <row r="542" ht="12.75" customHeight="1">
      <c r="B542" s="24"/>
      <c r="G542" s="25"/>
    </row>
    <row r="543" ht="12.75" customHeight="1">
      <c r="B543" s="24"/>
      <c r="G543" s="25"/>
    </row>
    <row r="544" ht="12.75" customHeight="1">
      <c r="B544" s="24"/>
      <c r="G544" s="25"/>
    </row>
    <row r="545" ht="12.75" customHeight="1">
      <c r="B545" s="24"/>
      <c r="G545" s="25"/>
    </row>
    <row r="546" ht="12.75" customHeight="1">
      <c r="B546" s="24"/>
      <c r="G546" s="25"/>
    </row>
    <row r="547" ht="12.75" customHeight="1">
      <c r="B547" s="24"/>
      <c r="G547" s="25"/>
    </row>
    <row r="548" ht="12.75" customHeight="1">
      <c r="B548" s="24"/>
      <c r="G548" s="25"/>
    </row>
    <row r="549" ht="12.75" customHeight="1">
      <c r="B549" s="24"/>
      <c r="G549" s="25"/>
    </row>
    <row r="550" ht="12.75" customHeight="1">
      <c r="B550" s="24"/>
      <c r="G550" s="25"/>
    </row>
    <row r="551" ht="12.75" customHeight="1">
      <c r="B551" s="24"/>
      <c r="G551" s="25"/>
    </row>
    <row r="552" ht="12.75" customHeight="1">
      <c r="B552" s="24"/>
      <c r="G552" s="25"/>
    </row>
    <row r="553" ht="12.75" customHeight="1">
      <c r="B553" s="24"/>
      <c r="G553" s="25"/>
    </row>
    <row r="554" ht="12.75" customHeight="1">
      <c r="B554" s="24"/>
      <c r="G554" s="25"/>
    </row>
    <row r="555" ht="12.75" customHeight="1">
      <c r="B555" s="24"/>
      <c r="G555" s="25"/>
    </row>
    <row r="556" ht="12.75" customHeight="1">
      <c r="B556" s="24"/>
      <c r="G556" s="25"/>
    </row>
    <row r="557" ht="12.75" customHeight="1">
      <c r="B557" s="24"/>
      <c r="G557" s="25"/>
    </row>
    <row r="558" ht="12.75" customHeight="1">
      <c r="B558" s="24"/>
      <c r="G558" s="25"/>
    </row>
    <row r="559" ht="12.75" customHeight="1">
      <c r="B559" s="24"/>
      <c r="G559" s="25"/>
    </row>
    <row r="560" ht="12.75" customHeight="1">
      <c r="B560" s="24"/>
      <c r="G560" s="25"/>
    </row>
    <row r="561" ht="12.75" customHeight="1">
      <c r="B561" s="24"/>
      <c r="G561" s="25"/>
    </row>
    <row r="562" ht="12.75" customHeight="1">
      <c r="B562" s="24"/>
      <c r="G562" s="25"/>
    </row>
    <row r="563" ht="12.75" customHeight="1">
      <c r="B563" s="24"/>
      <c r="G563" s="25"/>
    </row>
    <row r="564" ht="12.75" customHeight="1">
      <c r="B564" s="24"/>
      <c r="G564" s="25"/>
    </row>
    <row r="565" ht="12.75" customHeight="1">
      <c r="B565" s="24"/>
      <c r="G565" s="25"/>
    </row>
    <row r="566" ht="12.75" customHeight="1">
      <c r="B566" s="24"/>
      <c r="G566" s="25"/>
    </row>
    <row r="567" ht="12.75" customHeight="1">
      <c r="B567" s="24"/>
      <c r="G567" s="25"/>
    </row>
    <row r="568" ht="12.75" customHeight="1">
      <c r="B568" s="24"/>
      <c r="G568" s="25"/>
    </row>
    <row r="569" ht="12.75" customHeight="1">
      <c r="B569" s="24"/>
      <c r="G569" s="25"/>
    </row>
    <row r="570" ht="12.75" customHeight="1">
      <c r="B570" s="24"/>
      <c r="G570" s="25"/>
    </row>
    <row r="571" ht="12.75" customHeight="1">
      <c r="B571" s="24"/>
      <c r="G571" s="25"/>
    </row>
    <row r="572" ht="12.75" customHeight="1">
      <c r="B572" s="24"/>
      <c r="G572" s="25"/>
    </row>
    <row r="573" ht="12.75" customHeight="1">
      <c r="B573" s="24"/>
      <c r="G573" s="25"/>
    </row>
    <row r="574" ht="12.75" customHeight="1">
      <c r="B574" s="24"/>
      <c r="G574" s="25"/>
    </row>
    <row r="575" ht="12.75" customHeight="1">
      <c r="B575" s="24"/>
      <c r="G575" s="25"/>
    </row>
    <row r="576" ht="12.75" customHeight="1">
      <c r="B576" s="24"/>
      <c r="G576" s="25"/>
    </row>
    <row r="577" ht="12.75" customHeight="1">
      <c r="B577" s="24"/>
      <c r="G577" s="25"/>
    </row>
    <row r="578" ht="12.75" customHeight="1">
      <c r="B578" s="24"/>
      <c r="G578" s="25"/>
    </row>
    <row r="579" ht="12.75" customHeight="1">
      <c r="B579" s="24"/>
      <c r="G579" s="25"/>
    </row>
    <row r="580" ht="12.75" customHeight="1">
      <c r="B580" s="24"/>
      <c r="G580" s="25"/>
    </row>
    <row r="581" ht="12.75" customHeight="1">
      <c r="B581" s="24"/>
      <c r="G581" s="25"/>
    </row>
    <row r="582" ht="12.75" customHeight="1">
      <c r="B582" s="24"/>
      <c r="G582" s="25"/>
    </row>
    <row r="583" ht="12.75" customHeight="1">
      <c r="B583" s="24"/>
      <c r="G583" s="25"/>
    </row>
    <row r="584" ht="12.75" customHeight="1">
      <c r="B584" s="24"/>
      <c r="G584" s="25"/>
    </row>
    <row r="585" ht="12.75" customHeight="1">
      <c r="B585" s="24"/>
      <c r="G585" s="25"/>
    </row>
    <row r="586" ht="12.75" customHeight="1">
      <c r="B586" s="24"/>
      <c r="G586" s="25"/>
    </row>
    <row r="587" ht="12.75" customHeight="1">
      <c r="B587" s="24"/>
      <c r="G587" s="25"/>
    </row>
    <row r="588" ht="12.75" customHeight="1">
      <c r="B588" s="24"/>
      <c r="G588" s="25"/>
    </row>
    <row r="589" ht="12.75" customHeight="1">
      <c r="B589" s="24"/>
      <c r="G589" s="25"/>
    </row>
    <row r="590" ht="12.75" customHeight="1">
      <c r="B590" s="24"/>
      <c r="G590" s="25"/>
    </row>
    <row r="591" ht="12.75" customHeight="1">
      <c r="B591" s="24"/>
      <c r="G591" s="25"/>
    </row>
    <row r="592" ht="12.75" customHeight="1">
      <c r="B592" s="24"/>
      <c r="G592" s="25"/>
    </row>
    <row r="593" ht="12.75" customHeight="1">
      <c r="B593" s="24"/>
      <c r="G593" s="25"/>
    </row>
    <row r="594" ht="12.75" customHeight="1">
      <c r="B594" s="24"/>
      <c r="G594" s="25"/>
    </row>
    <row r="595" ht="12.75" customHeight="1">
      <c r="B595" s="24"/>
      <c r="G595" s="25"/>
    </row>
    <row r="596" ht="12.75" customHeight="1">
      <c r="B596" s="24"/>
      <c r="G596" s="25"/>
    </row>
    <row r="597" ht="12.75" customHeight="1">
      <c r="B597" s="24"/>
      <c r="G597" s="25"/>
    </row>
    <row r="598" ht="12.75" customHeight="1">
      <c r="B598" s="24"/>
      <c r="G598" s="25"/>
    </row>
    <row r="599" ht="12.75" customHeight="1">
      <c r="B599" s="24"/>
      <c r="G599" s="25"/>
    </row>
    <row r="600" ht="12.75" customHeight="1">
      <c r="B600" s="24"/>
      <c r="G600" s="25"/>
    </row>
    <row r="601" ht="12.75" customHeight="1">
      <c r="B601" s="24"/>
      <c r="G601" s="25"/>
    </row>
    <row r="602" ht="12.75" customHeight="1">
      <c r="B602" s="24"/>
      <c r="G602" s="25"/>
    </row>
    <row r="603" ht="12.75" customHeight="1">
      <c r="B603" s="24"/>
      <c r="G603" s="25"/>
    </row>
    <row r="604" ht="12.75" customHeight="1">
      <c r="B604" s="24"/>
      <c r="G604" s="25"/>
    </row>
    <row r="605" ht="12.75" customHeight="1">
      <c r="B605" s="24"/>
      <c r="G605" s="25"/>
    </row>
    <row r="606" ht="12.75" customHeight="1">
      <c r="B606" s="24"/>
      <c r="G606" s="25"/>
    </row>
    <row r="607" ht="12.75" customHeight="1">
      <c r="B607" s="24"/>
      <c r="G607" s="25"/>
    </row>
    <row r="608" ht="12.75" customHeight="1">
      <c r="B608" s="24"/>
      <c r="G608" s="25"/>
    </row>
    <row r="609" ht="12.75" customHeight="1">
      <c r="B609" s="24"/>
      <c r="G609" s="25"/>
    </row>
    <row r="610" ht="12.75" customHeight="1">
      <c r="B610" s="24"/>
      <c r="G610" s="25"/>
    </row>
    <row r="611" ht="12.75" customHeight="1">
      <c r="B611" s="24"/>
      <c r="G611" s="25"/>
    </row>
    <row r="612" ht="12.75" customHeight="1">
      <c r="B612" s="24"/>
      <c r="G612" s="25"/>
    </row>
    <row r="613" ht="12.75" customHeight="1">
      <c r="B613" s="24"/>
      <c r="G613" s="25"/>
    </row>
    <row r="614" ht="12.75" customHeight="1">
      <c r="B614" s="24"/>
      <c r="G614" s="25"/>
    </row>
    <row r="615" ht="12.75" customHeight="1">
      <c r="B615" s="24"/>
      <c r="G615" s="25"/>
    </row>
    <row r="616" ht="12.75" customHeight="1">
      <c r="B616" s="24"/>
      <c r="G616" s="25"/>
    </row>
    <row r="617" ht="12.75" customHeight="1">
      <c r="B617" s="24"/>
      <c r="G617" s="25"/>
    </row>
    <row r="618" ht="12.75" customHeight="1">
      <c r="B618" s="24"/>
      <c r="G618" s="25"/>
    </row>
    <row r="619" ht="12.75" customHeight="1">
      <c r="B619" s="24"/>
      <c r="G619" s="25"/>
    </row>
    <row r="620" ht="12.75" customHeight="1">
      <c r="B620" s="24"/>
      <c r="G620" s="25"/>
    </row>
    <row r="621" ht="12.75" customHeight="1">
      <c r="B621" s="24"/>
      <c r="G621" s="25"/>
    </row>
    <row r="622" ht="12.75" customHeight="1">
      <c r="B622" s="24"/>
      <c r="G622" s="25"/>
    </row>
    <row r="623" ht="12.75" customHeight="1">
      <c r="B623" s="24"/>
      <c r="G623" s="25"/>
    </row>
    <row r="624" ht="12.75" customHeight="1">
      <c r="B624" s="24"/>
      <c r="G624" s="25"/>
    </row>
    <row r="625" ht="12.75" customHeight="1">
      <c r="B625" s="24"/>
      <c r="G625" s="25"/>
    </row>
    <row r="626" ht="12.75" customHeight="1">
      <c r="B626" s="24"/>
      <c r="G626" s="25"/>
    </row>
    <row r="627" ht="12.75" customHeight="1">
      <c r="B627" s="24"/>
      <c r="G627" s="25"/>
    </row>
    <row r="628" ht="12.75" customHeight="1">
      <c r="B628" s="24"/>
      <c r="G628" s="25"/>
    </row>
    <row r="629" ht="12.75" customHeight="1">
      <c r="B629" s="24"/>
      <c r="G629" s="25"/>
    </row>
    <row r="630" ht="12.75" customHeight="1">
      <c r="B630" s="24"/>
      <c r="G630" s="25"/>
    </row>
    <row r="631" ht="12.75" customHeight="1">
      <c r="B631" s="24"/>
      <c r="G631" s="25"/>
    </row>
    <row r="632" ht="12.75" customHeight="1">
      <c r="B632" s="24"/>
      <c r="G632" s="25"/>
    </row>
    <row r="633" ht="12.75" customHeight="1">
      <c r="B633" s="24"/>
      <c r="G633" s="25"/>
    </row>
    <row r="634" ht="12.75" customHeight="1">
      <c r="B634" s="24"/>
      <c r="G634" s="25"/>
    </row>
    <row r="635" ht="12.75" customHeight="1">
      <c r="B635" s="24"/>
      <c r="G635" s="25"/>
    </row>
    <row r="636" ht="12.75" customHeight="1">
      <c r="B636" s="24"/>
      <c r="G636" s="25"/>
    </row>
    <row r="637" ht="12.75" customHeight="1">
      <c r="B637" s="24"/>
      <c r="G637" s="25"/>
    </row>
    <row r="638" ht="12.75" customHeight="1">
      <c r="B638" s="24"/>
      <c r="G638" s="25"/>
    </row>
    <row r="639" ht="12.75" customHeight="1">
      <c r="B639" s="24"/>
      <c r="G639" s="25"/>
    </row>
    <row r="640" ht="12.75" customHeight="1">
      <c r="B640" s="24"/>
      <c r="G640" s="25"/>
    </row>
    <row r="641" ht="12.75" customHeight="1">
      <c r="B641" s="24"/>
      <c r="G641" s="25"/>
    </row>
    <row r="642" ht="12.75" customHeight="1">
      <c r="B642" s="24"/>
      <c r="G642" s="25"/>
    </row>
    <row r="643" ht="12.75" customHeight="1">
      <c r="B643" s="24"/>
      <c r="G643" s="25"/>
    </row>
    <row r="644" ht="12.75" customHeight="1">
      <c r="B644" s="24"/>
      <c r="G644" s="25"/>
    </row>
    <row r="645" ht="12.75" customHeight="1">
      <c r="B645" s="24"/>
      <c r="G645" s="25"/>
    </row>
    <row r="646" ht="12.75" customHeight="1">
      <c r="B646" s="24"/>
      <c r="G646" s="25"/>
    </row>
    <row r="647" ht="12.75" customHeight="1">
      <c r="B647" s="24"/>
      <c r="G647" s="25"/>
    </row>
    <row r="648" ht="12.75" customHeight="1">
      <c r="B648" s="24"/>
      <c r="G648" s="25"/>
    </row>
    <row r="649" ht="12.75" customHeight="1">
      <c r="B649" s="24"/>
      <c r="G649" s="25"/>
    </row>
    <row r="650" ht="12.75" customHeight="1">
      <c r="B650" s="24"/>
      <c r="G650" s="25"/>
    </row>
    <row r="651" ht="12.75" customHeight="1">
      <c r="B651" s="24"/>
      <c r="G651" s="25"/>
    </row>
    <row r="652" ht="12.75" customHeight="1">
      <c r="B652" s="24"/>
      <c r="G652" s="25"/>
    </row>
    <row r="653" ht="12.75" customHeight="1">
      <c r="B653" s="24"/>
      <c r="G653" s="25"/>
    </row>
    <row r="654" ht="12.75" customHeight="1">
      <c r="B654" s="24"/>
      <c r="G654" s="25"/>
    </row>
    <row r="655" ht="12.75" customHeight="1">
      <c r="B655" s="24"/>
      <c r="G655" s="25"/>
    </row>
    <row r="656" ht="12.75" customHeight="1">
      <c r="B656" s="24"/>
      <c r="G656" s="25"/>
    </row>
    <row r="657" ht="12.75" customHeight="1">
      <c r="B657" s="24"/>
      <c r="G657" s="25"/>
    </row>
    <row r="658" ht="12.75" customHeight="1">
      <c r="B658" s="24"/>
      <c r="G658" s="25"/>
    </row>
    <row r="659" ht="12.75" customHeight="1">
      <c r="B659" s="24"/>
      <c r="G659" s="25"/>
    </row>
    <row r="660" ht="12.75" customHeight="1">
      <c r="B660" s="24"/>
      <c r="G660" s="25"/>
    </row>
    <row r="661" ht="12.75" customHeight="1">
      <c r="B661" s="24"/>
      <c r="G661" s="25"/>
    </row>
    <row r="662" ht="12.75" customHeight="1">
      <c r="B662" s="24"/>
      <c r="G662" s="25"/>
    </row>
    <row r="663" ht="12.75" customHeight="1">
      <c r="B663" s="24"/>
      <c r="G663" s="25"/>
    </row>
    <row r="664" ht="12.75" customHeight="1">
      <c r="B664" s="24"/>
      <c r="G664" s="25"/>
    </row>
    <row r="665" ht="12.75" customHeight="1">
      <c r="B665" s="24"/>
      <c r="G665" s="25"/>
    </row>
    <row r="666" ht="12.75" customHeight="1">
      <c r="B666" s="24"/>
      <c r="G666" s="25"/>
    </row>
    <row r="667" ht="12.75" customHeight="1">
      <c r="B667" s="24"/>
      <c r="G667" s="25"/>
    </row>
    <row r="668" ht="12.75" customHeight="1">
      <c r="B668" s="24"/>
      <c r="G668" s="25"/>
    </row>
    <row r="669" ht="12.75" customHeight="1">
      <c r="B669" s="24"/>
      <c r="G669" s="25"/>
    </row>
    <row r="670" ht="12.75" customHeight="1">
      <c r="B670" s="24"/>
      <c r="G670" s="25"/>
    </row>
    <row r="671" ht="12.75" customHeight="1">
      <c r="B671" s="24"/>
      <c r="G671" s="25"/>
    </row>
    <row r="672" ht="12.75" customHeight="1">
      <c r="B672" s="24"/>
      <c r="G672" s="25"/>
    </row>
    <row r="673" ht="12.75" customHeight="1">
      <c r="B673" s="24"/>
      <c r="G673" s="25"/>
    </row>
    <row r="674" ht="12.75" customHeight="1">
      <c r="B674" s="24"/>
      <c r="G674" s="25"/>
    </row>
    <row r="675" ht="12.75" customHeight="1">
      <c r="B675" s="24"/>
      <c r="G675" s="25"/>
    </row>
    <row r="676" ht="12.75" customHeight="1">
      <c r="B676" s="24"/>
      <c r="G676" s="25"/>
    </row>
    <row r="677" ht="12.75" customHeight="1">
      <c r="B677" s="24"/>
      <c r="G677" s="25"/>
    </row>
    <row r="678" ht="12.75" customHeight="1">
      <c r="B678" s="24"/>
      <c r="G678" s="25"/>
    </row>
    <row r="679" ht="12.75" customHeight="1">
      <c r="B679" s="24"/>
      <c r="G679" s="25"/>
    </row>
    <row r="680" ht="12.75" customHeight="1">
      <c r="B680" s="24"/>
      <c r="G680" s="25"/>
    </row>
    <row r="681" ht="12.75" customHeight="1">
      <c r="B681" s="24"/>
      <c r="G681" s="25"/>
    </row>
    <row r="682" ht="12.75" customHeight="1">
      <c r="B682" s="24"/>
      <c r="G682" s="25"/>
    </row>
    <row r="683" ht="12.75" customHeight="1">
      <c r="B683" s="24"/>
      <c r="G683" s="25"/>
    </row>
    <row r="684" ht="12.75" customHeight="1">
      <c r="B684" s="24"/>
      <c r="G684" s="25"/>
    </row>
    <row r="685" ht="12.75" customHeight="1">
      <c r="B685" s="24"/>
      <c r="G685" s="25"/>
    </row>
    <row r="686" ht="12.75" customHeight="1">
      <c r="B686" s="24"/>
      <c r="G686" s="25"/>
    </row>
    <row r="687" ht="12.75" customHeight="1">
      <c r="B687" s="24"/>
      <c r="G687" s="25"/>
    </row>
    <row r="688" ht="12.75" customHeight="1">
      <c r="B688" s="24"/>
      <c r="G688" s="25"/>
    </row>
    <row r="689" ht="12.75" customHeight="1">
      <c r="B689" s="24"/>
      <c r="G689" s="25"/>
    </row>
    <row r="690" ht="12.75" customHeight="1">
      <c r="B690" s="24"/>
      <c r="G690" s="25"/>
    </row>
    <row r="691" ht="12.75" customHeight="1">
      <c r="B691" s="24"/>
      <c r="G691" s="25"/>
    </row>
    <row r="692" ht="12.75" customHeight="1">
      <c r="B692" s="24"/>
      <c r="G692" s="25"/>
    </row>
    <row r="693" ht="12.75" customHeight="1">
      <c r="B693" s="24"/>
      <c r="G693" s="25"/>
    </row>
    <row r="694" ht="12.75" customHeight="1">
      <c r="B694" s="24"/>
      <c r="G694" s="25"/>
    </row>
    <row r="695" ht="12.75" customHeight="1">
      <c r="B695" s="24"/>
      <c r="G695" s="25"/>
    </row>
    <row r="696" ht="12.75" customHeight="1">
      <c r="B696" s="24"/>
      <c r="G696" s="25"/>
    </row>
    <row r="697" ht="12.75" customHeight="1">
      <c r="B697" s="24"/>
      <c r="G697" s="25"/>
    </row>
    <row r="698" ht="12.75" customHeight="1">
      <c r="B698" s="24"/>
      <c r="G698" s="25"/>
    </row>
    <row r="699" ht="12.75" customHeight="1">
      <c r="B699" s="24"/>
      <c r="G699" s="25"/>
    </row>
    <row r="700" ht="12.75" customHeight="1">
      <c r="B700" s="24"/>
      <c r="G700" s="25"/>
    </row>
    <row r="701" ht="12.75" customHeight="1">
      <c r="B701" s="24"/>
      <c r="G701" s="25"/>
    </row>
    <row r="702" ht="12.75" customHeight="1">
      <c r="B702" s="24"/>
      <c r="G702" s="25"/>
    </row>
    <row r="703" ht="12.75" customHeight="1">
      <c r="B703" s="24"/>
      <c r="G703" s="25"/>
    </row>
    <row r="704" ht="12.75" customHeight="1">
      <c r="B704" s="24"/>
      <c r="G704" s="25"/>
    </row>
    <row r="705" ht="12.75" customHeight="1">
      <c r="B705" s="24"/>
      <c r="G705" s="25"/>
    </row>
    <row r="706" ht="12.75" customHeight="1">
      <c r="B706" s="24"/>
      <c r="G706" s="25"/>
    </row>
    <row r="707" ht="12.75" customHeight="1">
      <c r="B707" s="24"/>
      <c r="G707" s="25"/>
    </row>
    <row r="708" ht="12.75" customHeight="1">
      <c r="B708" s="24"/>
      <c r="G708" s="25"/>
    </row>
    <row r="709" ht="12.75" customHeight="1">
      <c r="B709" s="24"/>
      <c r="G709" s="25"/>
    </row>
    <row r="710" ht="12.75" customHeight="1">
      <c r="B710" s="24"/>
      <c r="G710" s="25"/>
    </row>
    <row r="711" ht="12.75" customHeight="1">
      <c r="B711" s="24"/>
      <c r="G711" s="25"/>
    </row>
    <row r="712" ht="12.75" customHeight="1">
      <c r="B712" s="24"/>
      <c r="G712" s="25"/>
    </row>
    <row r="713" ht="12.75" customHeight="1">
      <c r="B713" s="24"/>
      <c r="G713" s="25"/>
    </row>
    <row r="714" ht="12.75" customHeight="1">
      <c r="B714" s="24"/>
      <c r="G714" s="25"/>
    </row>
    <row r="715" ht="12.75" customHeight="1">
      <c r="B715" s="24"/>
      <c r="G715" s="25"/>
    </row>
    <row r="716" ht="12.75" customHeight="1">
      <c r="B716" s="24"/>
      <c r="G716" s="25"/>
    </row>
    <row r="717" ht="12.75" customHeight="1">
      <c r="B717" s="24"/>
      <c r="G717" s="25"/>
    </row>
    <row r="718" ht="12.75" customHeight="1">
      <c r="B718" s="24"/>
      <c r="G718" s="25"/>
    </row>
    <row r="719" ht="12.75" customHeight="1">
      <c r="B719" s="24"/>
      <c r="G719" s="25"/>
    </row>
    <row r="720" ht="12.75" customHeight="1">
      <c r="B720" s="24"/>
      <c r="G720" s="25"/>
    </row>
    <row r="721" ht="12.75" customHeight="1">
      <c r="B721" s="24"/>
      <c r="G721" s="25"/>
    </row>
    <row r="722" ht="12.75" customHeight="1">
      <c r="B722" s="24"/>
      <c r="G722" s="25"/>
    </row>
    <row r="723" ht="12.75" customHeight="1">
      <c r="B723" s="24"/>
      <c r="G723" s="25"/>
    </row>
    <row r="724" ht="12.75" customHeight="1">
      <c r="B724" s="24"/>
      <c r="G724" s="25"/>
    </row>
    <row r="725" ht="12.75" customHeight="1">
      <c r="B725" s="24"/>
      <c r="G725" s="25"/>
    </row>
    <row r="726" ht="12.75" customHeight="1">
      <c r="B726" s="24"/>
      <c r="G726" s="25"/>
    </row>
    <row r="727" ht="12.75" customHeight="1">
      <c r="B727" s="24"/>
      <c r="G727" s="25"/>
    </row>
    <row r="728" ht="12.75" customHeight="1">
      <c r="B728" s="24"/>
      <c r="G728" s="25"/>
    </row>
    <row r="729" ht="12.75" customHeight="1">
      <c r="B729" s="24"/>
      <c r="G729" s="25"/>
    </row>
    <row r="730" ht="12.75" customHeight="1">
      <c r="B730" s="24"/>
      <c r="G730" s="25"/>
    </row>
    <row r="731" ht="12.75" customHeight="1">
      <c r="B731" s="24"/>
      <c r="G731" s="25"/>
    </row>
    <row r="732" ht="12.75" customHeight="1">
      <c r="B732" s="24"/>
      <c r="G732" s="25"/>
    </row>
    <row r="733" ht="12.75" customHeight="1">
      <c r="B733" s="24"/>
      <c r="G733" s="25"/>
    </row>
    <row r="734" ht="12.75" customHeight="1">
      <c r="B734" s="24"/>
      <c r="G734" s="25"/>
    </row>
    <row r="735" ht="12.75" customHeight="1">
      <c r="B735" s="24"/>
      <c r="G735" s="25"/>
    </row>
    <row r="736" ht="12.75" customHeight="1">
      <c r="B736" s="24"/>
      <c r="G736" s="25"/>
    </row>
    <row r="737" ht="12.75" customHeight="1">
      <c r="B737" s="24"/>
      <c r="G737" s="25"/>
    </row>
    <row r="738" ht="12.75" customHeight="1">
      <c r="B738" s="24"/>
      <c r="G738" s="25"/>
    </row>
    <row r="739" ht="12.75" customHeight="1">
      <c r="B739" s="24"/>
      <c r="G739" s="25"/>
    </row>
    <row r="740" ht="12.75" customHeight="1">
      <c r="B740" s="24"/>
      <c r="G740" s="25"/>
    </row>
    <row r="741" ht="12.75" customHeight="1">
      <c r="B741" s="24"/>
      <c r="G741" s="25"/>
    </row>
    <row r="742" ht="12.75" customHeight="1">
      <c r="B742" s="24"/>
      <c r="G742" s="25"/>
    </row>
    <row r="743" ht="12.75" customHeight="1">
      <c r="B743" s="24"/>
      <c r="G743" s="25"/>
    </row>
    <row r="744" ht="12.75" customHeight="1">
      <c r="B744" s="24"/>
      <c r="G744" s="25"/>
    </row>
    <row r="745" ht="12.75" customHeight="1">
      <c r="B745" s="24"/>
      <c r="G745" s="25"/>
    </row>
    <row r="746" ht="12.75" customHeight="1">
      <c r="B746" s="24"/>
      <c r="G746" s="25"/>
    </row>
    <row r="747" ht="12.75" customHeight="1">
      <c r="B747" s="24"/>
      <c r="G747" s="25"/>
    </row>
    <row r="748" ht="12.75" customHeight="1">
      <c r="B748" s="24"/>
      <c r="G748" s="25"/>
    </row>
    <row r="749" ht="12.75" customHeight="1">
      <c r="B749" s="24"/>
      <c r="G749" s="25"/>
    </row>
    <row r="750" ht="12.75" customHeight="1">
      <c r="B750" s="24"/>
      <c r="G750" s="25"/>
    </row>
    <row r="751" ht="12.75" customHeight="1">
      <c r="B751" s="24"/>
      <c r="G751" s="25"/>
    </row>
    <row r="752" ht="12.75" customHeight="1">
      <c r="B752" s="24"/>
      <c r="G752" s="25"/>
    </row>
    <row r="753" ht="12.75" customHeight="1">
      <c r="B753" s="24"/>
      <c r="G753" s="25"/>
    </row>
    <row r="754" ht="12.75" customHeight="1">
      <c r="B754" s="24"/>
      <c r="G754" s="25"/>
    </row>
    <row r="755" ht="12.75" customHeight="1">
      <c r="B755" s="24"/>
      <c r="G755" s="25"/>
    </row>
    <row r="756" ht="12.75" customHeight="1">
      <c r="B756" s="24"/>
      <c r="G756" s="25"/>
    </row>
    <row r="757" ht="12.75" customHeight="1">
      <c r="B757" s="24"/>
      <c r="G757" s="25"/>
    </row>
    <row r="758" ht="12.75" customHeight="1">
      <c r="B758" s="24"/>
      <c r="G758" s="25"/>
    </row>
    <row r="759" ht="12.75" customHeight="1">
      <c r="B759" s="24"/>
      <c r="G759" s="25"/>
    </row>
    <row r="760" ht="12.75" customHeight="1">
      <c r="B760" s="24"/>
      <c r="G760" s="25"/>
    </row>
    <row r="761" ht="12.75" customHeight="1">
      <c r="B761" s="24"/>
      <c r="G761" s="25"/>
    </row>
    <row r="762" ht="12.75" customHeight="1">
      <c r="B762" s="24"/>
      <c r="G762" s="25"/>
    </row>
    <row r="763" ht="12.75" customHeight="1">
      <c r="B763" s="24"/>
      <c r="G763" s="25"/>
    </row>
    <row r="764" ht="12.75" customHeight="1">
      <c r="B764" s="24"/>
      <c r="G764" s="25"/>
    </row>
    <row r="765" ht="12.75" customHeight="1">
      <c r="B765" s="24"/>
      <c r="G765" s="25"/>
    </row>
    <row r="766" ht="12.75" customHeight="1">
      <c r="B766" s="24"/>
      <c r="G766" s="25"/>
    </row>
    <row r="767" ht="12.75" customHeight="1">
      <c r="B767" s="24"/>
      <c r="G767" s="25"/>
    </row>
    <row r="768" ht="12.75" customHeight="1">
      <c r="B768" s="24"/>
      <c r="G768" s="25"/>
    </row>
    <row r="769" ht="12.75" customHeight="1">
      <c r="B769" s="24"/>
      <c r="G769" s="25"/>
    </row>
    <row r="770" ht="12.75" customHeight="1">
      <c r="B770" s="24"/>
      <c r="G770" s="25"/>
    </row>
    <row r="771" ht="12.75" customHeight="1">
      <c r="B771" s="24"/>
      <c r="G771" s="25"/>
    </row>
    <row r="772" ht="12.75" customHeight="1">
      <c r="B772" s="24"/>
      <c r="G772" s="25"/>
    </row>
    <row r="773" ht="12.75" customHeight="1">
      <c r="B773" s="24"/>
      <c r="G773" s="25"/>
    </row>
    <row r="774" ht="12.75" customHeight="1">
      <c r="B774" s="24"/>
      <c r="G774" s="25"/>
    </row>
    <row r="775" ht="12.75" customHeight="1">
      <c r="B775" s="24"/>
      <c r="G775" s="25"/>
    </row>
    <row r="776" ht="12.75" customHeight="1">
      <c r="B776" s="24"/>
      <c r="G776" s="25"/>
    </row>
    <row r="777" ht="12.75" customHeight="1">
      <c r="B777" s="24"/>
      <c r="G777" s="25"/>
    </row>
    <row r="778" ht="12.75" customHeight="1">
      <c r="B778" s="24"/>
      <c r="G778" s="25"/>
    </row>
    <row r="779" ht="12.75" customHeight="1">
      <c r="B779" s="24"/>
      <c r="G779" s="25"/>
    </row>
    <row r="780" ht="12.75" customHeight="1">
      <c r="B780" s="24"/>
      <c r="G780" s="25"/>
    </row>
    <row r="781" ht="12.75" customHeight="1">
      <c r="B781" s="24"/>
      <c r="G781" s="25"/>
    </row>
    <row r="782" ht="12.75" customHeight="1">
      <c r="B782" s="24"/>
      <c r="G782" s="25"/>
    </row>
    <row r="783" ht="12.75" customHeight="1">
      <c r="B783" s="24"/>
      <c r="G783" s="25"/>
    </row>
    <row r="784" ht="12.75" customHeight="1">
      <c r="B784" s="24"/>
      <c r="G784" s="25"/>
    </row>
    <row r="785" ht="12.75" customHeight="1">
      <c r="B785" s="24"/>
      <c r="G785" s="25"/>
    </row>
    <row r="786" ht="12.75" customHeight="1">
      <c r="B786" s="24"/>
      <c r="G786" s="25"/>
    </row>
    <row r="787" ht="12.75" customHeight="1">
      <c r="B787" s="24"/>
      <c r="G787" s="25"/>
    </row>
    <row r="788" ht="12.75" customHeight="1">
      <c r="B788" s="24"/>
      <c r="G788" s="25"/>
    </row>
    <row r="789" ht="12.75" customHeight="1">
      <c r="B789" s="24"/>
      <c r="G789" s="25"/>
    </row>
    <row r="790" ht="12.75" customHeight="1">
      <c r="B790" s="24"/>
      <c r="G790" s="25"/>
    </row>
    <row r="791" ht="12.75" customHeight="1">
      <c r="B791" s="24"/>
      <c r="G791" s="25"/>
    </row>
    <row r="792" ht="12.75" customHeight="1">
      <c r="B792" s="24"/>
      <c r="G792" s="25"/>
    </row>
    <row r="793" ht="12.75" customHeight="1">
      <c r="B793" s="24"/>
      <c r="G793" s="25"/>
    </row>
    <row r="794" ht="12.75" customHeight="1">
      <c r="B794" s="24"/>
      <c r="G794" s="25"/>
    </row>
    <row r="795" ht="12.75" customHeight="1">
      <c r="B795" s="24"/>
      <c r="G795" s="25"/>
    </row>
    <row r="796" ht="12.75" customHeight="1">
      <c r="B796" s="24"/>
      <c r="G796" s="25"/>
    </row>
    <row r="797" ht="12.75" customHeight="1">
      <c r="B797" s="24"/>
      <c r="G797" s="25"/>
    </row>
    <row r="798" ht="12.75" customHeight="1">
      <c r="B798" s="24"/>
      <c r="G798" s="25"/>
    </row>
    <row r="799" ht="12.75" customHeight="1">
      <c r="B799" s="24"/>
      <c r="G799" s="25"/>
    </row>
    <row r="800" ht="12.75" customHeight="1">
      <c r="B800" s="24"/>
      <c r="G800" s="25"/>
    </row>
    <row r="801" ht="12.75" customHeight="1">
      <c r="B801" s="24"/>
      <c r="G801" s="25"/>
    </row>
    <row r="802" ht="12.75" customHeight="1">
      <c r="B802" s="24"/>
      <c r="G802" s="25"/>
    </row>
    <row r="803" ht="12.75" customHeight="1">
      <c r="B803" s="24"/>
      <c r="G803" s="25"/>
    </row>
    <row r="804" ht="12.75" customHeight="1">
      <c r="B804" s="24"/>
      <c r="G804" s="25"/>
    </row>
    <row r="805" ht="12.75" customHeight="1">
      <c r="B805" s="24"/>
      <c r="G805" s="25"/>
    </row>
    <row r="806" ht="12.75" customHeight="1">
      <c r="B806" s="24"/>
      <c r="G806" s="25"/>
    </row>
    <row r="807" ht="12.75" customHeight="1">
      <c r="B807" s="24"/>
      <c r="G807" s="25"/>
    </row>
    <row r="808" ht="12.75" customHeight="1">
      <c r="B808" s="24"/>
      <c r="G808" s="25"/>
    </row>
    <row r="809" ht="12.75" customHeight="1">
      <c r="B809" s="24"/>
      <c r="G809" s="25"/>
    </row>
    <row r="810" ht="12.75" customHeight="1">
      <c r="B810" s="24"/>
      <c r="G810" s="25"/>
    </row>
    <row r="811" ht="12.75" customHeight="1">
      <c r="B811" s="24"/>
      <c r="G811" s="25"/>
    </row>
    <row r="812" ht="12.75" customHeight="1">
      <c r="B812" s="24"/>
      <c r="G812" s="25"/>
    </row>
    <row r="813" ht="12.75" customHeight="1">
      <c r="B813" s="24"/>
      <c r="G813" s="25"/>
    </row>
    <row r="814" ht="12.75" customHeight="1">
      <c r="B814" s="24"/>
      <c r="G814" s="25"/>
    </row>
    <row r="815" ht="12.75" customHeight="1">
      <c r="B815" s="24"/>
      <c r="G815" s="25"/>
    </row>
    <row r="816" ht="12.75" customHeight="1">
      <c r="B816" s="24"/>
      <c r="G816" s="25"/>
    </row>
    <row r="817" ht="12.75" customHeight="1">
      <c r="B817" s="24"/>
      <c r="G817" s="25"/>
    </row>
    <row r="818" ht="12.75" customHeight="1">
      <c r="B818" s="24"/>
      <c r="G818" s="25"/>
    </row>
    <row r="819" ht="12.75" customHeight="1">
      <c r="B819" s="24"/>
      <c r="G819" s="25"/>
    </row>
    <row r="820" ht="12.75" customHeight="1">
      <c r="B820" s="24"/>
      <c r="G820" s="25"/>
    </row>
    <row r="821" ht="12.75" customHeight="1">
      <c r="B821" s="24"/>
      <c r="G821" s="25"/>
    </row>
    <row r="822" ht="12.75" customHeight="1">
      <c r="B822" s="24"/>
      <c r="G822" s="25"/>
    </row>
    <row r="823" ht="12.75" customHeight="1">
      <c r="B823" s="24"/>
      <c r="G823" s="25"/>
    </row>
    <row r="824" ht="12.75" customHeight="1">
      <c r="B824" s="24"/>
      <c r="G824" s="25"/>
    </row>
    <row r="825" ht="12.75" customHeight="1">
      <c r="B825" s="24"/>
      <c r="G825" s="25"/>
    </row>
    <row r="826" ht="12.75" customHeight="1">
      <c r="B826" s="24"/>
      <c r="G826" s="25"/>
    </row>
    <row r="827" ht="12.75" customHeight="1">
      <c r="B827" s="24"/>
      <c r="G827" s="25"/>
    </row>
    <row r="828" ht="12.75" customHeight="1">
      <c r="B828" s="24"/>
      <c r="G828" s="25"/>
    </row>
    <row r="829" ht="12.75" customHeight="1">
      <c r="B829" s="24"/>
      <c r="G829" s="25"/>
    </row>
    <row r="830" ht="12.75" customHeight="1">
      <c r="B830" s="24"/>
      <c r="G830" s="25"/>
    </row>
    <row r="831" ht="12.75" customHeight="1">
      <c r="B831" s="24"/>
      <c r="G831" s="25"/>
    </row>
    <row r="832" ht="12.75" customHeight="1">
      <c r="B832" s="24"/>
      <c r="G832" s="25"/>
    </row>
    <row r="833" ht="12.75" customHeight="1">
      <c r="B833" s="24"/>
      <c r="G833" s="25"/>
    </row>
    <row r="834" ht="12.75" customHeight="1">
      <c r="B834" s="24"/>
      <c r="G834" s="25"/>
    </row>
    <row r="835" ht="12.75" customHeight="1">
      <c r="B835" s="24"/>
      <c r="G835" s="25"/>
    </row>
    <row r="836" ht="12.75" customHeight="1">
      <c r="B836" s="24"/>
      <c r="G836" s="25"/>
    </row>
    <row r="837" ht="12.75" customHeight="1">
      <c r="B837" s="24"/>
      <c r="G837" s="25"/>
    </row>
    <row r="838" ht="12.75" customHeight="1">
      <c r="B838" s="24"/>
      <c r="G838" s="25"/>
    </row>
    <row r="839" ht="12.75" customHeight="1">
      <c r="B839" s="24"/>
      <c r="G839" s="25"/>
    </row>
    <row r="840" ht="12.75" customHeight="1">
      <c r="B840" s="24"/>
      <c r="G840" s="25"/>
    </row>
    <row r="841" ht="12.75" customHeight="1">
      <c r="B841" s="24"/>
      <c r="G841" s="25"/>
    </row>
    <row r="842" ht="12.75" customHeight="1">
      <c r="B842" s="24"/>
      <c r="G842" s="25"/>
    </row>
    <row r="843" ht="12.75" customHeight="1">
      <c r="B843" s="24"/>
      <c r="G843" s="25"/>
    </row>
    <row r="844" ht="12.75" customHeight="1">
      <c r="B844" s="24"/>
      <c r="G844" s="25"/>
    </row>
    <row r="845" ht="12.75" customHeight="1">
      <c r="B845" s="24"/>
      <c r="G845" s="25"/>
    </row>
    <row r="846" ht="12.75" customHeight="1">
      <c r="B846" s="24"/>
      <c r="G846" s="25"/>
    </row>
    <row r="847" ht="12.75" customHeight="1">
      <c r="B847" s="24"/>
      <c r="G847" s="25"/>
    </row>
    <row r="848" ht="12.75" customHeight="1">
      <c r="B848" s="24"/>
      <c r="G848" s="25"/>
    </row>
    <row r="849" ht="12.75" customHeight="1">
      <c r="B849" s="24"/>
      <c r="G849" s="25"/>
    </row>
    <row r="850" ht="12.75" customHeight="1">
      <c r="B850" s="24"/>
      <c r="G850" s="25"/>
    </row>
    <row r="851" ht="12.75" customHeight="1">
      <c r="B851" s="24"/>
      <c r="G851" s="25"/>
    </row>
    <row r="852" ht="12.75" customHeight="1">
      <c r="B852" s="24"/>
      <c r="G852" s="25"/>
    </row>
    <row r="853" ht="12.75" customHeight="1">
      <c r="B853" s="24"/>
      <c r="G853" s="25"/>
    </row>
    <row r="854" ht="12.75" customHeight="1">
      <c r="B854" s="24"/>
      <c r="G854" s="25"/>
    </row>
    <row r="855" ht="12.75" customHeight="1">
      <c r="B855" s="24"/>
      <c r="G855" s="25"/>
    </row>
    <row r="856" ht="12.75" customHeight="1">
      <c r="B856" s="24"/>
      <c r="G856" s="25"/>
    </row>
    <row r="857" ht="12.75" customHeight="1">
      <c r="B857" s="24"/>
      <c r="G857" s="25"/>
    </row>
    <row r="858" ht="12.75" customHeight="1">
      <c r="B858" s="24"/>
      <c r="G858" s="25"/>
    </row>
    <row r="859" ht="12.75" customHeight="1">
      <c r="B859" s="24"/>
      <c r="G859" s="25"/>
    </row>
    <row r="860" ht="12.75" customHeight="1">
      <c r="B860" s="24"/>
      <c r="G860" s="25"/>
    </row>
    <row r="861" ht="12.75" customHeight="1">
      <c r="B861" s="24"/>
      <c r="G861" s="25"/>
    </row>
    <row r="862" ht="12.75" customHeight="1">
      <c r="B862" s="24"/>
      <c r="G862" s="25"/>
    </row>
    <row r="863" ht="12.75" customHeight="1">
      <c r="B863" s="24"/>
      <c r="G863" s="25"/>
    </row>
    <row r="864" ht="12.75" customHeight="1">
      <c r="B864" s="24"/>
      <c r="G864" s="25"/>
    </row>
    <row r="865" ht="12.75" customHeight="1">
      <c r="B865" s="24"/>
      <c r="G865" s="25"/>
    </row>
    <row r="866" ht="12.75" customHeight="1">
      <c r="B866" s="24"/>
      <c r="G866" s="25"/>
    </row>
    <row r="867" ht="12.75" customHeight="1">
      <c r="B867" s="24"/>
      <c r="G867" s="25"/>
    </row>
    <row r="868" ht="12.75" customHeight="1">
      <c r="B868" s="24"/>
      <c r="G868" s="25"/>
    </row>
    <row r="869" ht="12.75" customHeight="1">
      <c r="B869" s="24"/>
      <c r="G869" s="25"/>
    </row>
    <row r="870" ht="12.75" customHeight="1">
      <c r="B870" s="24"/>
      <c r="G870" s="25"/>
    </row>
    <row r="871" ht="12.75" customHeight="1">
      <c r="B871" s="24"/>
      <c r="G871" s="25"/>
    </row>
    <row r="872" ht="12.75" customHeight="1">
      <c r="B872" s="24"/>
      <c r="G872" s="25"/>
    </row>
    <row r="873" ht="12.75" customHeight="1">
      <c r="B873" s="24"/>
      <c r="G873" s="25"/>
    </row>
    <row r="874" ht="12.75" customHeight="1">
      <c r="B874" s="24"/>
      <c r="G874" s="25"/>
    </row>
    <row r="875" ht="12.75" customHeight="1">
      <c r="B875" s="24"/>
      <c r="G875" s="25"/>
    </row>
    <row r="876" ht="12.75" customHeight="1">
      <c r="B876" s="24"/>
      <c r="G876" s="25"/>
    </row>
    <row r="877" ht="12.75" customHeight="1">
      <c r="B877" s="24"/>
      <c r="G877" s="25"/>
    </row>
    <row r="878" ht="12.75" customHeight="1">
      <c r="B878" s="24"/>
      <c r="G878" s="25"/>
    </row>
    <row r="879" ht="12.75" customHeight="1">
      <c r="B879" s="24"/>
      <c r="G879" s="25"/>
    </row>
    <row r="880" ht="12.75" customHeight="1">
      <c r="B880" s="24"/>
      <c r="G880" s="25"/>
    </row>
    <row r="881" ht="12.75" customHeight="1">
      <c r="B881" s="24"/>
      <c r="G881" s="25"/>
    </row>
    <row r="882" ht="12.75" customHeight="1">
      <c r="B882" s="24"/>
      <c r="G882" s="25"/>
    </row>
    <row r="883" ht="12.75" customHeight="1">
      <c r="B883" s="24"/>
      <c r="G883" s="25"/>
    </row>
    <row r="884" ht="12.75" customHeight="1">
      <c r="B884" s="24"/>
      <c r="G884" s="25"/>
    </row>
    <row r="885" ht="12.75" customHeight="1">
      <c r="B885" s="24"/>
      <c r="G885" s="25"/>
    </row>
    <row r="886" ht="12.75" customHeight="1">
      <c r="B886" s="24"/>
      <c r="G886" s="25"/>
    </row>
    <row r="887" ht="12.75" customHeight="1">
      <c r="B887" s="24"/>
      <c r="G887" s="25"/>
    </row>
    <row r="888" ht="12.75" customHeight="1">
      <c r="B888" s="24"/>
      <c r="G888" s="25"/>
    </row>
    <row r="889" ht="12.75" customHeight="1">
      <c r="B889" s="24"/>
      <c r="G889" s="25"/>
    </row>
    <row r="890" ht="12.75" customHeight="1">
      <c r="B890" s="24"/>
      <c r="G890" s="25"/>
    </row>
    <row r="891" ht="12.75" customHeight="1">
      <c r="B891" s="24"/>
      <c r="G891" s="25"/>
    </row>
    <row r="892" ht="12.75" customHeight="1">
      <c r="B892" s="24"/>
      <c r="G892" s="25"/>
    </row>
    <row r="893" ht="12.75" customHeight="1">
      <c r="B893" s="24"/>
      <c r="G893" s="25"/>
    </row>
    <row r="894" ht="12.75" customHeight="1">
      <c r="B894" s="24"/>
      <c r="G894" s="25"/>
    </row>
    <row r="895" ht="12.75" customHeight="1">
      <c r="B895" s="24"/>
      <c r="G895" s="25"/>
    </row>
    <row r="896" ht="12.75" customHeight="1">
      <c r="B896" s="24"/>
      <c r="G896" s="25"/>
    </row>
    <row r="897" ht="12.75" customHeight="1">
      <c r="B897" s="24"/>
      <c r="G897" s="25"/>
    </row>
    <row r="898" ht="12.75" customHeight="1">
      <c r="B898" s="24"/>
      <c r="G898" s="25"/>
    </row>
    <row r="899" ht="12.75" customHeight="1">
      <c r="B899" s="24"/>
      <c r="G899" s="25"/>
    </row>
    <row r="900" ht="12.75" customHeight="1">
      <c r="B900" s="24"/>
      <c r="G900" s="25"/>
    </row>
    <row r="901" ht="12.75" customHeight="1">
      <c r="B901" s="24"/>
      <c r="G901" s="25"/>
    </row>
    <row r="902" ht="12.75" customHeight="1">
      <c r="B902" s="24"/>
      <c r="G902" s="25"/>
    </row>
    <row r="903" ht="12.75" customHeight="1">
      <c r="B903" s="24"/>
      <c r="G903" s="25"/>
    </row>
    <row r="904" ht="12.75" customHeight="1">
      <c r="B904" s="24"/>
      <c r="G904" s="25"/>
    </row>
    <row r="905" ht="12.75" customHeight="1">
      <c r="B905" s="24"/>
      <c r="G905" s="25"/>
    </row>
    <row r="906" ht="12.75" customHeight="1">
      <c r="B906" s="24"/>
      <c r="G906" s="25"/>
    </row>
    <row r="907" ht="12.75" customHeight="1">
      <c r="B907" s="24"/>
      <c r="G907" s="25"/>
    </row>
    <row r="908" ht="12.75" customHeight="1">
      <c r="B908" s="24"/>
      <c r="G908" s="25"/>
    </row>
    <row r="909" ht="12.75" customHeight="1">
      <c r="B909" s="24"/>
      <c r="G909" s="25"/>
    </row>
    <row r="910" ht="12.75" customHeight="1">
      <c r="B910" s="24"/>
      <c r="G910" s="25"/>
    </row>
    <row r="911" ht="12.75" customHeight="1">
      <c r="B911" s="24"/>
      <c r="G911" s="25"/>
    </row>
    <row r="912" ht="12.75" customHeight="1">
      <c r="B912" s="24"/>
      <c r="G912" s="25"/>
    </row>
    <row r="913" ht="12.75" customHeight="1">
      <c r="B913" s="24"/>
      <c r="G913" s="25"/>
    </row>
    <row r="914" ht="12.75" customHeight="1">
      <c r="B914" s="24"/>
      <c r="G914" s="25"/>
    </row>
    <row r="915" ht="12.75" customHeight="1">
      <c r="B915" s="24"/>
      <c r="G915" s="25"/>
    </row>
    <row r="916" ht="12.75" customHeight="1">
      <c r="B916" s="24"/>
      <c r="G916" s="25"/>
    </row>
    <row r="917" ht="12.75" customHeight="1">
      <c r="B917" s="24"/>
      <c r="G917" s="25"/>
    </row>
    <row r="918" ht="12.75" customHeight="1">
      <c r="B918" s="24"/>
      <c r="G918" s="25"/>
    </row>
    <row r="919" ht="12.75" customHeight="1">
      <c r="B919" s="24"/>
      <c r="G919" s="25"/>
    </row>
    <row r="920" ht="12.75" customHeight="1">
      <c r="B920" s="24"/>
      <c r="G920" s="25"/>
    </row>
    <row r="921" ht="12.75" customHeight="1">
      <c r="B921" s="24"/>
      <c r="G921" s="25"/>
    </row>
    <row r="922" ht="12.75" customHeight="1">
      <c r="B922" s="24"/>
      <c r="G922" s="25"/>
    </row>
    <row r="923" ht="12.75" customHeight="1">
      <c r="B923" s="24"/>
      <c r="G923" s="25"/>
    </row>
    <row r="924" ht="12.75" customHeight="1">
      <c r="B924" s="24"/>
      <c r="G924" s="25"/>
    </row>
    <row r="925" ht="12.75" customHeight="1">
      <c r="B925" s="24"/>
      <c r="G925" s="25"/>
    </row>
    <row r="926" ht="12.75" customHeight="1">
      <c r="B926" s="24"/>
      <c r="G926" s="25"/>
    </row>
    <row r="927" ht="12.75" customHeight="1">
      <c r="B927" s="24"/>
      <c r="G927" s="25"/>
    </row>
    <row r="928" ht="12.75" customHeight="1">
      <c r="B928" s="24"/>
      <c r="G928" s="25"/>
    </row>
    <row r="929" ht="12.75" customHeight="1">
      <c r="B929" s="24"/>
      <c r="G929" s="25"/>
    </row>
    <row r="930" ht="12.75" customHeight="1">
      <c r="B930" s="24"/>
      <c r="G930" s="25"/>
    </row>
    <row r="931" ht="12.75" customHeight="1">
      <c r="B931" s="24"/>
      <c r="G931" s="25"/>
    </row>
    <row r="932" ht="12.75" customHeight="1">
      <c r="B932" s="24"/>
      <c r="G932" s="25"/>
    </row>
    <row r="933" ht="12.75" customHeight="1">
      <c r="B933" s="24"/>
      <c r="G933" s="25"/>
    </row>
    <row r="934" ht="12.75" customHeight="1">
      <c r="B934" s="24"/>
      <c r="G934" s="25"/>
    </row>
    <row r="935" ht="12.75" customHeight="1">
      <c r="B935" s="24"/>
      <c r="G935" s="25"/>
    </row>
    <row r="936" ht="12.75" customHeight="1">
      <c r="B936" s="24"/>
      <c r="G936" s="25"/>
    </row>
    <row r="937" ht="12.75" customHeight="1">
      <c r="B937" s="24"/>
      <c r="G937" s="25"/>
    </row>
    <row r="938" ht="12.75" customHeight="1">
      <c r="B938" s="24"/>
      <c r="G938" s="25"/>
    </row>
    <row r="939" ht="12.75" customHeight="1">
      <c r="B939" s="24"/>
      <c r="G939" s="25"/>
    </row>
    <row r="940" ht="12.75" customHeight="1">
      <c r="B940" s="24"/>
      <c r="G940" s="25"/>
    </row>
    <row r="941" ht="12.75" customHeight="1">
      <c r="B941" s="24"/>
      <c r="G941" s="25"/>
    </row>
    <row r="942" ht="12.75" customHeight="1">
      <c r="B942" s="24"/>
      <c r="G942" s="25"/>
    </row>
    <row r="943" ht="12.75" customHeight="1">
      <c r="B943" s="24"/>
      <c r="G943" s="25"/>
    </row>
    <row r="944" ht="12.75" customHeight="1">
      <c r="B944" s="24"/>
      <c r="G944" s="25"/>
    </row>
    <row r="945" ht="12.75" customHeight="1">
      <c r="B945" s="24"/>
      <c r="G945" s="25"/>
    </row>
    <row r="946" ht="12.75" customHeight="1">
      <c r="B946" s="24"/>
      <c r="G946" s="25"/>
    </row>
    <row r="947" ht="12.75" customHeight="1">
      <c r="B947" s="24"/>
      <c r="G947" s="25"/>
    </row>
    <row r="948" ht="12.75" customHeight="1">
      <c r="B948" s="24"/>
      <c r="G948" s="25"/>
    </row>
    <row r="949" ht="12.75" customHeight="1">
      <c r="B949" s="24"/>
      <c r="G949" s="25"/>
    </row>
    <row r="950" ht="12.75" customHeight="1">
      <c r="B950" s="24"/>
      <c r="G950" s="25"/>
    </row>
    <row r="951" ht="12.75" customHeight="1">
      <c r="B951" s="24"/>
      <c r="G951" s="25"/>
    </row>
    <row r="952" ht="12.75" customHeight="1">
      <c r="B952" s="24"/>
      <c r="G952" s="25"/>
    </row>
    <row r="953" ht="12.75" customHeight="1">
      <c r="B953" s="24"/>
      <c r="G953" s="25"/>
    </row>
    <row r="954" ht="12.75" customHeight="1">
      <c r="B954" s="24"/>
      <c r="G954" s="25"/>
    </row>
    <row r="955" ht="12.75" customHeight="1">
      <c r="B955" s="24"/>
      <c r="G955" s="25"/>
    </row>
    <row r="956" ht="12.75" customHeight="1">
      <c r="B956" s="24"/>
      <c r="G956" s="25"/>
    </row>
    <row r="957" ht="12.75" customHeight="1">
      <c r="B957" s="24"/>
      <c r="G957" s="25"/>
    </row>
    <row r="958" ht="12.75" customHeight="1">
      <c r="B958" s="24"/>
      <c r="G958" s="25"/>
    </row>
    <row r="959" ht="12.75" customHeight="1">
      <c r="B959" s="24"/>
      <c r="G959" s="25"/>
    </row>
    <row r="960" ht="12.75" customHeight="1">
      <c r="B960" s="24"/>
      <c r="G960" s="25"/>
    </row>
    <row r="961" ht="12.75" customHeight="1">
      <c r="B961" s="24"/>
      <c r="G961" s="25"/>
    </row>
    <row r="962" ht="12.75" customHeight="1">
      <c r="B962" s="24"/>
      <c r="G962" s="25"/>
    </row>
    <row r="963" ht="12.75" customHeight="1">
      <c r="B963" s="24"/>
      <c r="G963" s="25"/>
    </row>
    <row r="964" ht="12.75" customHeight="1">
      <c r="B964" s="24"/>
      <c r="G964" s="25"/>
    </row>
    <row r="965" ht="12.75" customHeight="1">
      <c r="B965" s="24"/>
      <c r="G965" s="25"/>
    </row>
    <row r="966" ht="12.75" customHeight="1">
      <c r="B966" s="24"/>
      <c r="G966" s="25"/>
    </row>
    <row r="967" ht="12.75" customHeight="1">
      <c r="B967" s="24"/>
      <c r="G967" s="25"/>
    </row>
    <row r="968" ht="12.75" customHeight="1">
      <c r="B968" s="24"/>
      <c r="G968" s="25"/>
    </row>
    <row r="969" ht="12.75" customHeight="1">
      <c r="B969" s="24"/>
      <c r="G969" s="25"/>
    </row>
    <row r="970" ht="12.75" customHeight="1">
      <c r="B970" s="24"/>
      <c r="G970" s="25"/>
    </row>
    <row r="971" ht="12.75" customHeight="1">
      <c r="B971" s="24"/>
      <c r="G971" s="25"/>
    </row>
    <row r="972" ht="12.75" customHeight="1">
      <c r="B972" s="24"/>
      <c r="G972" s="25"/>
    </row>
    <row r="973" ht="12.75" customHeight="1">
      <c r="B973" s="24"/>
      <c r="G973" s="25"/>
    </row>
    <row r="974" ht="12.75" customHeight="1">
      <c r="B974" s="24"/>
      <c r="G974" s="25"/>
    </row>
    <row r="975" ht="12.75" customHeight="1">
      <c r="B975" s="24"/>
      <c r="G975" s="25"/>
    </row>
    <row r="976" ht="12.75" customHeight="1">
      <c r="B976" s="24"/>
      <c r="G976" s="25"/>
    </row>
    <row r="977" ht="12.75" customHeight="1">
      <c r="B977" s="24"/>
      <c r="G977" s="25"/>
    </row>
    <row r="978" ht="12.75" customHeight="1">
      <c r="B978" s="24"/>
      <c r="G978" s="25"/>
    </row>
    <row r="979" ht="12.75" customHeight="1">
      <c r="B979" s="24"/>
      <c r="G979" s="25"/>
    </row>
    <row r="980" ht="12.75" customHeight="1">
      <c r="B980" s="24"/>
      <c r="G980" s="25"/>
    </row>
    <row r="981" ht="12.75" customHeight="1">
      <c r="B981" s="24"/>
      <c r="G981" s="25"/>
    </row>
    <row r="982" ht="12.75" customHeight="1">
      <c r="B982" s="24"/>
      <c r="G982" s="25"/>
    </row>
    <row r="983" ht="12.75" customHeight="1">
      <c r="B983" s="24"/>
      <c r="G983" s="25"/>
    </row>
    <row r="984" ht="12.75" customHeight="1">
      <c r="B984" s="24"/>
      <c r="G984" s="25"/>
    </row>
    <row r="985" ht="12.75" customHeight="1">
      <c r="B985" s="24"/>
      <c r="G985" s="25"/>
    </row>
    <row r="986" ht="12.75" customHeight="1">
      <c r="B986" s="24"/>
      <c r="G986" s="25"/>
    </row>
    <row r="987" ht="12.75" customHeight="1">
      <c r="B987" s="24"/>
      <c r="G987" s="25"/>
    </row>
    <row r="988" ht="12.75" customHeight="1">
      <c r="B988" s="24"/>
      <c r="G988" s="25"/>
    </row>
    <row r="989" ht="12.75" customHeight="1">
      <c r="B989" s="24"/>
      <c r="G989" s="25"/>
    </row>
    <row r="990" ht="12.75" customHeight="1">
      <c r="B990" s="24"/>
      <c r="G990" s="25"/>
    </row>
    <row r="991" ht="12.75" customHeight="1">
      <c r="B991" s="24"/>
      <c r="G991" s="25"/>
    </row>
    <row r="992" ht="12.75" customHeight="1">
      <c r="B992" s="24"/>
      <c r="G992" s="25"/>
    </row>
    <row r="993" ht="12.75" customHeight="1">
      <c r="B993" s="24"/>
      <c r="G993" s="25"/>
    </row>
    <row r="994" ht="12.75" customHeight="1">
      <c r="B994" s="24"/>
      <c r="G994" s="25"/>
    </row>
    <row r="995" ht="12.75" customHeight="1">
      <c r="B995" s="24"/>
      <c r="G995" s="25"/>
    </row>
    <row r="996" ht="12.75" customHeight="1">
      <c r="B996" s="24"/>
      <c r="G996" s="25"/>
    </row>
    <row r="997" ht="12.75" customHeight="1">
      <c r="B997" s="24"/>
      <c r="G997" s="25"/>
    </row>
    <row r="998" ht="12.75" customHeight="1">
      <c r="B998" s="24"/>
      <c r="G998" s="25"/>
    </row>
    <row r="999" ht="12.75" customHeight="1">
      <c r="B999" s="24"/>
      <c r="G999" s="25"/>
    </row>
    <row r="1000" ht="12.75" customHeight="1">
      <c r="B1000" s="24"/>
      <c r="G1000" s="25"/>
    </row>
    <row r="1001" ht="12.75" customHeight="1">
      <c r="B1001" s="24"/>
      <c r="G1001" s="25"/>
    </row>
    <row r="1002" ht="12.75" customHeight="1">
      <c r="B1002" s="24"/>
      <c r="G1002" s="25"/>
    </row>
    <row r="1003" ht="12.75" customHeight="1">
      <c r="B1003" s="24"/>
      <c r="G1003" s="25"/>
    </row>
    <row r="1004" ht="12.75" customHeight="1">
      <c r="B1004" s="24"/>
      <c r="G1004" s="25"/>
    </row>
    <row r="1005" ht="12.75" customHeight="1">
      <c r="B1005" s="24"/>
      <c r="G1005" s="25"/>
    </row>
    <row r="1006" ht="12.75" customHeight="1">
      <c r="B1006" s="24"/>
      <c r="G1006" s="25"/>
    </row>
    <row r="1007" ht="12.75" customHeight="1">
      <c r="B1007" s="24"/>
      <c r="G1007" s="25"/>
    </row>
    <row r="1008" ht="12.75" customHeight="1">
      <c r="B1008" s="24"/>
      <c r="G1008" s="25"/>
    </row>
    <row r="1009" ht="12.75" customHeight="1">
      <c r="B1009" s="24"/>
      <c r="G1009" s="25"/>
    </row>
    <row r="1010" ht="12.75" customHeight="1">
      <c r="B1010" s="24"/>
      <c r="G1010" s="25"/>
    </row>
    <row r="1011" ht="12.75" customHeight="1">
      <c r="B1011" s="24"/>
      <c r="G1011" s="25"/>
    </row>
    <row r="1012" ht="12.75" customHeight="1">
      <c r="B1012" s="24"/>
      <c r="G1012" s="25"/>
    </row>
    <row r="1013" ht="12.75" customHeight="1">
      <c r="B1013" s="24"/>
      <c r="G1013" s="25"/>
    </row>
    <row r="1014" ht="12.75" customHeight="1">
      <c r="B1014" s="24"/>
      <c r="G1014" s="25"/>
    </row>
    <row r="1015" ht="12.75" customHeight="1">
      <c r="B1015" s="24"/>
      <c r="G1015" s="25"/>
    </row>
    <row r="1016" ht="12.75" customHeight="1">
      <c r="B1016" s="24"/>
      <c r="G1016" s="25"/>
    </row>
    <row r="1017" ht="12.75" customHeight="1">
      <c r="B1017" s="24"/>
      <c r="G1017" s="25"/>
    </row>
    <row r="1018" ht="12.75" customHeight="1">
      <c r="B1018" s="24"/>
      <c r="G1018" s="25"/>
    </row>
    <row r="1019" ht="12.75" customHeight="1">
      <c r="B1019" s="24"/>
      <c r="G1019" s="25"/>
    </row>
    <row r="1020" ht="12.75" customHeight="1">
      <c r="B1020" s="24"/>
      <c r="G1020" s="25"/>
    </row>
    <row r="1021" ht="12.75" customHeight="1">
      <c r="B1021" s="24"/>
      <c r="G1021" s="25"/>
    </row>
    <row r="1022" ht="12.75" customHeight="1">
      <c r="B1022" s="24"/>
      <c r="G1022" s="25"/>
    </row>
    <row r="1023" ht="12.75" customHeight="1">
      <c r="B1023" s="24"/>
      <c r="G1023" s="25"/>
    </row>
    <row r="1024" ht="12.75" customHeight="1">
      <c r="B1024" s="24"/>
      <c r="G1024" s="25"/>
    </row>
    <row r="1025" ht="12.75" customHeight="1">
      <c r="B1025" s="24"/>
      <c r="G1025" s="25"/>
    </row>
    <row r="1026" ht="12.75" customHeight="1">
      <c r="B1026" s="24"/>
      <c r="G1026" s="25"/>
    </row>
    <row r="1027" ht="12.75" customHeight="1">
      <c r="B1027" s="24"/>
      <c r="G1027" s="25"/>
    </row>
    <row r="1028" ht="12.75" customHeight="1">
      <c r="B1028" s="24"/>
      <c r="G1028" s="25"/>
    </row>
    <row r="1029" ht="12.75" customHeight="1">
      <c r="B1029" s="24"/>
      <c r="G1029" s="25"/>
    </row>
    <row r="1030" ht="12.75" customHeight="1">
      <c r="B1030" s="24"/>
      <c r="G1030" s="25"/>
    </row>
  </sheetData>
  <mergeCells count="25">
    <mergeCell ref="A2:G2"/>
    <mergeCell ref="A4:B4"/>
    <mergeCell ref="E4:G4"/>
    <mergeCell ref="A6:B6"/>
    <mergeCell ref="E6:G6"/>
    <mergeCell ref="I7:I25"/>
    <mergeCell ref="R5:U5"/>
    <mergeCell ref="I47:I66"/>
    <mergeCell ref="I70:I87"/>
    <mergeCell ref="I92:I112"/>
    <mergeCell ref="I117:I139"/>
    <mergeCell ref="I143:I165"/>
    <mergeCell ref="A91:B91"/>
    <mergeCell ref="E91:G91"/>
    <mergeCell ref="A116:B116"/>
    <mergeCell ref="E116:G116"/>
    <mergeCell ref="A142:B142"/>
    <mergeCell ref="E142:G142"/>
    <mergeCell ref="A28:B28"/>
    <mergeCell ref="E28:G28"/>
    <mergeCell ref="I29:I43"/>
    <mergeCell ref="A46:B46"/>
    <mergeCell ref="E46:G46"/>
    <mergeCell ref="A69:B69"/>
    <mergeCell ref="E69:G6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78.63"/>
    <col customWidth="1" min="3" max="3" width="25.63"/>
    <col customWidth="1" min="4" max="4" width="40.88"/>
    <col customWidth="1" min="5" max="5" width="16.25"/>
    <col customWidth="1" min="6" max="6" width="12.38"/>
    <col customWidth="1" min="7" max="9" width="15.88"/>
    <col customWidth="1" min="10" max="26" width="8.0"/>
  </cols>
  <sheetData>
    <row r="1" ht="12.75" customHeight="1">
      <c r="A1" s="80" t="s">
        <v>78</v>
      </c>
      <c r="B1" s="80" t="s">
        <v>138</v>
      </c>
      <c r="C1" s="80" t="s">
        <v>139</v>
      </c>
      <c r="D1" s="80" t="s">
        <v>140</v>
      </c>
      <c r="E1" s="80" t="s">
        <v>141</v>
      </c>
      <c r="F1" s="80" t="s">
        <v>142</v>
      </c>
      <c r="G1" s="80" t="s">
        <v>143</v>
      </c>
      <c r="H1" s="80" t="s">
        <v>143</v>
      </c>
      <c r="I1" s="80" t="s">
        <v>144</v>
      </c>
    </row>
    <row r="2" ht="12.75" customHeight="1">
      <c r="A2" s="81">
        <v>45748.0</v>
      </c>
      <c r="B2" s="82" t="s">
        <v>145</v>
      </c>
      <c r="C2" s="83" t="s">
        <v>146</v>
      </c>
      <c r="D2" s="83" t="s">
        <v>147</v>
      </c>
      <c r="F2" s="82">
        <v>127300.0</v>
      </c>
      <c r="G2" s="82">
        <v>164000.56</v>
      </c>
      <c r="H2" s="82">
        <v>164000.56</v>
      </c>
      <c r="I2" s="82">
        <f t="shared" ref="I2:I507" si="1">+G2-H2</f>
        <v>0</v>
      </c>
    </row>
    <row r="3" ht="12.75" customHeight="1">
      <c r="A3" s="81">
        <v>45750.0</v>
      </c>
      <c r="B3" s="82" t="s">
        <v>148</v>
      </c>
      <c r="C3" s="82" t="s">
        <v>100</v>
      </c>
      <c r="D3" s="82" t="s">
        <v>149</v>
      </c>
      <c r="E3" s="82">
        <v>300.9</v>
      </c>
      <c r="G3" s="82">
        <v>163699.66</v>
      </c>
      <c r="H3" s="82">
        <f t="shared" ref="H3:H507" si="2">+H2+F3-E3</f>
        <v>163699.66</v>
      </c>
      <c r="I3" s="82">
        <f t="shared" si="1"/>
        <v>0</v>
      </c>
    </row>
    <row r="4" ht="12.75" customHeight="1">
      <c r="A4" s="81">
        <v>45750.0</v>
      </c>
      <c r="B4" s="82" t="s">
        <v>150</v>
      </c>
      <c r="C4" s="82" t="s">
        <v>85</v>
      </c>
      <c r="D4" s="82" t="s">
        <v>151</v>
      </c>
      <c r="E4" s="82">
        <v>1284.0</v>
      </c>
      <c r="G4" s="82">
        <v>162415.66</v>
      </c>
      <c r="H4" s="82">
        <f t="shared" si="2"/>
        <v>162415.66</v>
      </c>
      <c r="I4" s="82">
        <f t="shared" si="1"/>
        <v>0</v>
      </c>
    </row>
    <row r="5" ht="12.75" customHeight="1">
      <c r="A5" s="81">
        <v>45750.0</v>
      </c>
      <c r="B5" s="82" t="s">
        <v>152</v>
      </c>
      <c r="C5" s="82" t="s">
        <v>88</v>
      </c>
      <c r="D5" s="82" t="s">
        <v>153</v>
      </c>
      <c r="E5" s="82">
        <v>588.82</v>
      </c>
      <c r="G5" s="82">
        <v>161826.84</v>
      </c>
      <c r="H5" s="82">
        <f t="shared" si="2"/>
        <v>161826.84</v>
      </c>
      <c r="I5" s="82">
        <f t="shared" si="1"/>
        <v>0</v>
      </c>
    </row>
    <row r="6" ht="12.75" customHeight="1">
      <c r="A6" s="81">
        <v>45750.0</v>
      </c>
      <c r="B6" s="82" t="s">
        <v>154</v>
      </c>
      <c r="C6" s="82" t="s">
        <v>87</v>
      </c>
      <c r="D6" s="82" t="s">
        <v>155</v>
      </c>
      <c r="E6" s="82">
        <v>1800.0</v>
      </c>
      <c r="G6" s="82">
        <v>160026.84</v>
      </c>
      <c r="H6" s="82">
        <f t="shared" si="2"/>
        <v>160026.84</v>
      </c>
      <c r="I6" s="82">
        <f t="shared" si="1"/>
        <v>0</v>
      </c>
    </row>
    <row r="7" ht="12.75" customHeight="1">
      <c r="A7" s="81">
        <v>45751.0</v>
      </c>
      <c r="B7" s="82" t="s">
        <v>156</v>
      </c>
      <c r="C7" s="82" t="s">
        <v>100</v>
      </c>
      <c r="D7" s="82" t="s">
        <v>149</v>
      </c>
      <c r="E7" s="82">
        <v>200.9</v>
      </c>
      <c r="G7" s="82">
        <v>159825.94</v>
      </c>
      <c r="H7" s="82">
        <f t="shared" si="2"/>
        <v>159825.94</v>
      </c>
      <c r="I7" s="82">
        <f t="shared" si="1"/>
        <v>0</v>
      </c>
    </row>
    <row r="8" ht="12.75" customHeight="1">
      <c r="A8" s="81">
        <v>45751.0</v>
      </c>
      <c r="B8" s="82" t="s">
        <v>157</v>
      </c>
      <c r="C8" s="82" t="s">
        <v>94</v>
      </c>
      <c r="D8" s="82" t="s">
        <v>158</v>
      </c>
      <c r="E8" s="82">
        <v>1003.0</v>
      </c>
      <c r="G8" s="82">
        <v>158822.94</v>
      </c>
      <c r="H8" s="82">
        <f t="shared" si="2"/>
        <v>158822.94</v>
      </c>
      <c r="I8" s="82">
        <f t="shared" si="1"/>
        <v>0</v>
      </c>
    </row>
    <row r="9" ht="12.75" customHeight="1">
      <c r="A9" s="81">
        <v>45752.0</v>
      </c>
      <c r="B9" s="82" t="s">
        <v>159</v>
      </c>
      <c r="C9" s="82" t="s">
        <v>83</v>
      </c>
      <c r="D9" s="82" t="s">
        <v>160</v>
      </c>
      <c r="E9" s="82">
        <v>90842.0</v>
      </c>
      <c r="G9" s="82">
        <v>67980.94</v>
      </c>
      <c r="H9" s="82">
        <f t="shared" si="2"/>
        <v>67980.94</v>
      </c>
      <c r="I9" s="82">
        <f t="shared" si="1"/>
        <v>0</v>
      </c>
    </row>
    <row r="10" ht="12.75" customHeight="1">
      <c r="A10" s="81">
        <v>45752.0</v>
      </c>
      <c r="B10" s="82" t="s">
        <v>161</v>
      </c>
      <c r="C10" s="82" t="s">
        <v>91</v>
      </c>
      <c r="D10" s="82" t="s">
        <v>162</v>
      </c>
      <c r="E10" s="82">
        <v>18875.0</v>
      </c>
      <c r="G10" s="82">
        <v>49105.94</v>
      </c>
      <c r="H10" s="82">
        <f t="shared" si="2"/>
        <v>49105.94</v>
      </c>
      <c r="I10" s="82">
        <f t="shared" si="1"/>
        <v>0</v>
      </c>
    </row>
    <row r="11" ht="12.75" customHeight="1">
      <c r="A11" s="81">
        <v>45754.0</v>
      </c>
      <c r="B11" s="82" t="s">
        <v>163</v>
      </c>
      <c r="C11" s="82" t="s">
        <v>99</v>
      </c>
      <c r="D11" s="82" t="s">
        <v>164</v>
      </c>
      <c r="E11" s="82">
        <v>11180.0</v>
      </c>
      <c r="G11" s="82">
        <v>37925.94</v>
      </c>
      <c r="H11" s="82">
        <f t="shared" si="2"/>
        <v>37925.94</v>
      </c>
      <c r="I11" s="82">
        <f t="shared" si="1"/>
        <v>0</v>
      </c>
    </row>
    <row r="12" ht="12.75" customHeight="1">
      <c r="A12" s="81">
        <v>45754.0</v>
      </c>
      <c r="B12" s="82" t="s">
        <v>165</v>
      </c>
      <c r="C12" s="83" t="s">
        <v>97</v>
      </c>
      <c r="D12" s="83" t="s">
        <v>166</v>
      </c>
      <c r="E12" s="82">
        <v>1208.17</v>
      </c>
      <c r="G12" s="82">
        <v>36717.77</v>
      </c>
      <c r="H12" s="82">
        <f t="shared" si="2"/>
        <v>36717.77</v>
      </c>
      <c r="I12" s="82">
        <f t="shared" si="1"/>
        <v>0</v>
      </c>
    </row>
    <row r="13" ht="12.75" customHeight="1">
      <c r="A13" s="81">
        <v>45754.0</v>
      </c>
      <c r="B13" s="82" t="s">
        <v>167</v>
      </c>
      <c r="C13" s="82" t="s">
        <v>87</v>
      </c>
      <c r="D13" s="82" t="s">
        <v>155</v>
      </c>
      <c r="E13" s="82">
        <v>1800.0</v>
      </c>
      <c r="G13" s="82">
        <v>34917.77</v>
      </c>
      <c r="H13" s="82">
        <f t="shared" si="2"/>
        <v>34917.77</v>
      </c>
      <c r="I13" s="82">
        <f t="shared" si="1"/>
        <v>0</v>
      </c>
    </row>
    <row r="14" ht="12.75" customHeight="1">
      <c r="A14" s="81">
        <v>45756.0</v>
      </c>
      <c r="B14" s="82" t="s">
        <v>168</v>
      </c>
      <c r="C14" s="82" t="s">
        <v>81</v>
      </c>
      <c r="D14" s="82" t="s">
        <v>169</v>
      </c>
      <c r="E14" s="82">
        <v>370.0</v>
      </c>
      <c r="G14" s="82">
        <v>34547.77</v>
      </c>
      <c r="H14" s="82">
        <f t="shared" si="2"/>
        <v>34547.77</v>
      </c>
      <c r="I14" s="82">
        <f t="shared" si="1"/>
        <v>0</v>
      </c>
    </row>
    <row r="15" ht="12.75" customHeight="1">
      <c r="A15" s="81">
        <v>45757.0</v>
      </c>
      <c r="B15" s="82" t="s">
        <v>170</v>
      </c>
      <c r="C15" s="82" t="s">
        <v>87</v>
      </c>
      <c r="D15" s="82" t="s">
        <v>171</v>
      </c>
      <c r="E15" s="82">
        <v>720.0</v>
      </c>
      <c r="G15" s="82">
        <v>33827.77</v>
      </c>
      <c r="H15" s="82">
        <f t="shared" si="2"/>
        <v>33827.77</v>
      </c>
      <c r="I15" s="82">
        <f t="shared" si="1"/>
        <v>0</v>
      </c>
    </row>
    <row r="16" ht="12.75" customHeight="1">
      <c r="A16" s="81">
        <v>45758.0</v>
      </c>
      <c r="B16" s="82" t="s">
        <v>172</v>
      </c>
      <c r="C16" s="82" t="s">
        <v>173</v>
      </c>
      <c r="D16" s="82" t="s">
        <v>110</v>
      </c>
      <c r="F16" s="82">
        <v>199244.24</v>
      </c>
      <c r="G16" s="82">
        <v>233072.01</v>
      </c>
      <c r="H16" s="82">
        <f t="shared" si="2"/>
        <v>233072.01</v>
      </c>
      <c r="I16" s="82">
        <f t="shared" si="1"/>
        <v>0</v>
      </c>
    </row>
    <row r="17" ht="12.75" customHeight="1">
      <c r="A17" s="81">
        <v>45758.0</v>
      </c>
      <c r="B17" s="82" t="s">
        <v>174</v>
      </c>
      <c r="C17" s="82" t="s">
        <v>96</v>
      </c>
      <c r="D17" s="82" t="s">
        <v>175</v>
      </c>
      <c r="E17" s="82">
        <v>183412.0</v>
      </c>
      <c r="G17" s="82">
        <v>49660.01</v>
      </c>
      <c r="H17" s="82">
        <f t="shared" si="2"/>
        <v>49660.01</v>
      </c>
      <c r="I17" s="82">
        <f t="shared" si="1"/>
        <v>0</v>
      </c>
    </row>
    <row r="18" ht="12.75" customHeight="1">
      <c r="A18" s="81">
        <v>45758.0</v>
      </c>
      <c r="B18" s="82" t="s">
        <v>176</v>
      </c>
      <c r="C18" s="82" t="s">
        <v>98</v>
      </c>
      <c r="D18" s="82" t="s">
        <v>177</v>
      </c>
      <c r="E18" s="82">
        <v>3000.0</v>
      </c>
      <c r="G18" s="82">
        <v>46660.01</v>
      </c>
      <c r="H18" s="82">
        <f t="shared" si="2"/>
        <v>46660.01</v>
      </c>
      <c r="I18" s="82">
        <f t="shared" si="1"/>
        <v>0</v>
      </c>
    </row>
    <row r="19" ht="12.75" customHeight="1">
      <c r="A19" s="81">
        <v>45758.0</v>
      </c>
      <c r="B19" s="82" t="s">
        <v>178</v>
      </c>
      <c r="C19" s="82" t="s">
        <v>98</v>
      </c>
      <c r="D19" s="82" t="s">
        <v>179</v>
      </c>
      <c r="E19" s="82">
        <v>6708.0</v>
      </c>
      <c r="G19" s="82">
        <v>39952.01</v>
      </c>
      <c r="H19" s="82">
        <f t="shared" si="2"/>
        <v>39952.01</v>
      </c>
      <c r="I19" s="82">
        <f t="shared" si="1"/>
        <v>0</v>
      </c>
    </row>
    <row r="20" ht="12.75" customHeight="1">
      <c r="A20" s="81">
        <v>45758.0</v>
      </c>
      <c r="B20" s="82" t="s">
        <v>180</v>
      </c>
      <c r="C20" s="82" t="s">
        <v>98</v>
      </c>
      <c r="D20" s="82" t="s">
        <v>181</v>
      </c>
      <c r="E20" s="82">
        <v>7000.0</v>
      </c>
      <c r="G20" s="82">
        <v>32952.01</v>
      </c>
      <c r="H20" s="82">
        <f t="shared" si="2"/>
        <v>32952.01</v>
      </c>
      <c r="I20" s="82">
        <f t="shared" si="1"/>
        <v>0</v>
      </c>
    </row>
    <row r="21" ht="12.75" customHeight="1">
      <c r="A21" s="81">
        <v>45758.0</v>
      </c>
      <c r="B21" s="82" t="s">
        <v>182</v>
      </c>
      <c r="C21" s="82" t="s">
        <v>98</v>
      </c>
      <c r="D21" s="82" t="s">
        <v>183</v>
      </c>
      <c r="E21" s="82">
        <v>5833.0</v>
      </c>
      <c r="G21" s="82">
        <v>27119.01</v>
      </c>
      <c r="H21" s="82">
        <f t="shared" si="2"/>
        <v>27119.01</v>
      </c>
      <c r="I21" s="82">
        <f t="shared" si="1"/>
        <v>0</v>
      </c>
    </row>
    <row r="22" ht="12.75" customHeight="1">
      <c r="A22" s="81">
        <v>45758.0</v>
      </c>
      <c r="B22" s="82" t="s">
        <v>184</v>
      </c>
      <c r="C22" s="82" t="s">
        <v>98</v>
      </c>
      <c r="D22" s="82" t="s">
        <v>183</v>
      </c>
      <c r="E22" s="82">
        <v>1167.0</v>
      </c>
      <c r="G22" s="82">
        <v>25952.01</v>
      </c>
      <c r="H22" s="82">
        <f t="shared" si="2"/>
        <v>25952.01</v>
      </c>
      <c r="I22" s="82">
        <f t="shared" si="1"/>
        <v>0</v>
      </c>
    </row>
    <row r="23" ht="12.75" customHeight="1">
      <c r="A23" s="81">
        <v>45758.0</v>
      </c>
      <c r="B23" s="82" t="s">
        <v>185</v>
      </c>
      <c r="C23" s="82" t="s">
        <v>98</v>
      </c>
      <c r="D23" s="82" t="s">
        <v>186</v>
      </c>
      <c r="E23" s="82">
        <v>1750.0</v>
      </c>
      <c r="G23" s="82">
        <v>24202.01</v>
      </c>
      <c r="H23" s="82">
        <f t="shared" si="2"/>
        <v>24202.01</v>
      </c>
      <c r="I23" s="82">
        <f t="shared" si="1"/>
        <v>0</v>
      </c>
    </row>
    <row r="24" ht="12.75" customHeight="1">
      <c r="A24" s="81">
        <v>45758.0</v>
      </c>
      <c r="B24" s="82" t="s">
        <v>187</v>
      </c>
      <c r="C24" s="82" t="s">
        <v>98</v>
      </c>
      <c r="D24" s="82" t="s">
        <v>188</v>
      </c>
      <c r="E24" s="82">
        <v>3500.0</v>
      </c>
      <c r="G24" s="82">
        <v>20702.01</v>
      </c>
      <c r="H24" s="82">
        <f t="shared" si="2"/>
        <v>20702.01</v>
      </c>
      <c r="I24" s="82">
        <f t="shared" si="1"/>
        <v>0</v>
      </c>
    </row>
    <row r="25" ht="12.75" customHeight="1">
      <c r="A25" s="81">
        <v>45758.0</v>
      </c>
      <c r="B25" s="82" t="s">
        <v>189</v>
      </c>
      <c r="C25" s="82" t="s">
        <v>98</v>
      </c>
      <c r="D25" s="82" t="s">
        <v>190</v>
      </c>
      <c r="E25" s="82">
        <v>6708.0</v>
      </c>
      <c r="G25" s="82">
        <v>13994.01</v>
      </c>
      <c r="H25" s="82">
        <f t="shared" si="2"/>
        <v>13994.01</v>
      </c>
      <c r="I25" s="82">
        <f t="shared" si="1"/>
        <v>0</v>
      </c>
    </row>
    <row r="26" ht="12.75" customHeight="1">
      <c r="A26" s="81">
        <v>45758.0</v>
      </c>
      <c r="B26" s="82" t="s">
        <v>191</v>
      </c>
      <c r="C26" s="82" t="s">
        <v>98</v>
      </c>
      <c r="D26" s="82" t="s">
        <v>192</v>
      </c>
      <c r="E26" s="82">
        <v>6604.0</v>
      </c>
      <c r="G26" s="82">
        <v>7390.01</v>
      </c>
      <c r="H26" s="82">
        <f t="shared" si="2"/>
        <v>7390.01</v>
      </c>
      <c r="I26" s="82">
        <f t="shared" si="1"/>
        <v>0</v>
      </c>
    </row>
    <row r="27" ht="12.75" customHeight="1">
      <c r="A27" s="81">
        <v>45759.0</v>
      </c>
      <c r="B27" s="82" t="s">
        <v>193</v>
      </c>
      <c r="C27" s="82" t="s">
        <v>87</v>
      </c>
      <c r="D27" s="82" t="s">
        <v>155</v>
      </c>
      <c r="E27" s="82">
        <v>607.0</v>
      </c>
      <c r="G27" s="82">
        <v>6783.01</v>
      </c>
      <c r="H27" s="82">
        <f t="shared" si="2"/>
        <v>6783.01</v>
      </c>
      <c r="I27" s="82">
        <f t="shared" si="1"/>
        <v>0</v>
      </c>
    </row>
    <row r="28" ht="12.75" customHeight="1">
      <c r="A28" s="81">
        <v>45759.0</v>
      </c>
      <c r="B28" s="82" t="s">
        <v>194</v>
      </c>
      <c r="C28" s="82" t="s">
        <v>87</v>
      </c>
      <c r="D28" s="82" t="s">
        <v>195</v>
      </c>
      <c r="E28" s="82">
        <v>2310.0</v>
      </c>
      <c r="G28" s="82">
        <v>4473.01</v>
      </c>
      <c r="H28" s="82">
        <f t="shared" si="2"/>
        <v>4473.01</v>
      </c>
      <c r="I28" s="82">
        <f t="shared" si="1"/>
        <v>0</v>
      </c>
    </row>
    <row r="29" ht="12.75" customHeight="1">
      <c r="A29" s="81">
        <v>45762.0</v>
      </c>
      <c r="B29" s="82" t="s">
        <v>196</v>
      </c>
      <c r="C29" s="82" t="s">
        <v>120</v>
      </c>
      <c r="D29" s="82" t="s">
        <v>197</v>
      </c>
      <c r="F29" s="82">
        <v>45000.0</v>
      </c>
      <c r="G29" s="82">
        <v>49473.01</v>
      </c>
      <c r="H29" s="82">
        <f t="shared" si="2"/>
        <v>49473.01</v>
      </c>
      <c r="I29" s="82">
        <f t="shared" si="1"/>
        <v>0</v>
      </c>
    </row>
    <row r="30" ht="12.75" customHeight="1">
      <c r="A30" s="81">
        <v>45762.0</v>
      </c>
      <c r="B30" s="82" t="s">
        <v>198</v>
      </c>
      <c r="C30" s="82" t="s">
        <v>98</v>
      </c>
      <c r="D30" s="82" t="s">
        <v>199</v>
      </c>
      <c r="E30" s="82">
        <v>6708.0</v>
      </c>
      <c r="G30" s="82">
        <v>42765.01</v>
      </c>
      <c r="H30" s="82">
        <f t="shared" si="2"/>
        <v>42765.01</v>
      </c>
      <c r="I30" s="82">
        <f t="shared" si="1"/>
        <v>0</v>
      </c>
    </row>
    <row r="31" ht="12.75" customHeight="1">
      <c r="A31" s="81">
        <v>45762.0</v>
      </c>
      <c r="B31" s="82" t="s">
        <v>200</v>
      </c>
      <c r="C31" s="82" t="s">
        <v>98</v>
      </c>
      <c r="D31" s="82" t="s">
        <v>201</v>
      </c>
      <c r="E31" s="82">
        <v>6417.0</v>
      </c>
      <c r="G31" s="82">
        <v>36348.01</v>
      </c>
      <c r="H31" s="82">
        <f t="shared" si="2"/>
        <v>36348.01</v>
      </c>
      <c r="I31" s="82">
        <f t="shared" si="1"/>
        <v>0</v>
      </c>
    </row>
    <row r="32" ht="12.75" customHeight="1">
      <c r="A32" s="81">
        <v>45762.0</v>
      </c>
      <c r="B32" s="82" t="s">
        <v>202</v>
      </c>
      <c r="C32" s="82" t="s">
        <v>86</v>
      </c>
      <c r="D32" s="82" t="s">
        <v>203</v>
      </c>
      <c r="E32" s="82">
        <v>33110.0</v>
      </c>
      <c r="G32" s="82">
        <v>3238.01</v>
      </c>
      <c r="H32" s="82">
        <f t="shared" si="2"/>
        <v>3238.01</v>
      </c>
      <c r="I32" s="82">
        <f t="shared" si="1"/>
        <v>0</v>
      </c>
    </row>
    <row r="33" ht="12.75" customHeight="1">
      <c r="A33" s="81">
        <v>45762.0</v>
      </c>
      <c r="B33" s="82" t="s">
        <v>204</v>
      </c>
      <c r="C33" s="82" t="s">
        <v>88</v>
      </c>
      <c r="D33" s="82" t="s">
        <v>205</v>
      </c>
      <c r="E33" s="82">
        <v>1650.82</v>
      </c>
      <c r="G33" s="82">
        <v>1587.19</v>
      </c>
      <c r="H33" s="82">
        <f t="shared" si="2"/>
        <v>1587.19</v>
      </c>
      <c r="I33" s="82">
        <f t="shared" si="1"/>
        <v>0</v>
      </c>
    </row>
    <row r="34" ht="12.75" customHeight="1">
      <c r="A34" s="81">
        <v>45762.0</v>
      </c>
      <c r="B34" s="82" t="s">
        <v>206</v>
      </c>
      <c r="C34" s="82" t="s">
        <v>87</v>
      </c>
      <c r="D34" s="82" t="s">
        <v>155</v>
      </c>
      <c r="E34" s="82">
        <v>1500.0</v>
      </c>
      <c r="G34" s="82">
        <v>87.19</v>
      </c>
      <c r="H34" s="82">
        <f t="shared" si="2"/>
        <v>87.19</v>
      </c>
      <c r="I34" s="82">
        <f t="shared" si="1"/>
        <v>0</v>
      </c>
    </row>
    <row r="35" ht="12.75" customHeight="1">
      <c r="A35" s="81">
        <v>45763.0</v>
      </c>
      <c r="B35" s="82" t="s">
        <v>207</v>
      </c>
      <c r="C35" s="82" t="s">
        <v>120</v>
      </c>
      <c r="D35" s="82" t="s">
        <v>197</v>
      </c>
      <c r="F35" s="82">
        <v>20000.0</v>
      </c>
      <c r="G35" s="82">
        <v>20087.19</v>
      </c>
      <c r="H35" s="82">
        <f t="shared" si="2"/>
        <v>20087.19</v>
      </c>
      <c r="I35" s="82">
        <f t="shared" si="1"/>
        <v>0</v>
      </c>
    </row>
    <row r="36" ht="12.75" customHeight="1">
      <c r="A36" s="81">
        <v>45763.0</v>
      </c>
      <c r="B36" s="82" t="s">
        <v>208</v>
      </c>
      <c r="C36" s="82" t="s">
        <v>94</v>
      </c>
      <c r="D36" s="82" t="s">
        <v>158</v>
      </c>
      <c r="E36" s="82">
        <v>1003.0</v>
      </c>
      <c r="G36" s="82">
        <v>19084.19</v>
      </c>
      <c r="H36" s="82">
        <f t="shared" si="2"/>
        <v>19084.19</v>
      </c>
      <c r="I36" s="82">
        <f t="shared" si="1"/>
        <v>0</v>
      </c>
    </row>
    <row r="37" ht="12.75" customHeight="1">
      <c r="A37" s="81">
        <v>45763.0</v>
      </c>
      <c r="B37" s="82" t="s">
        <v>209</v>
      </c>
      <c r="C37" s="82" t="s">
        <v>93</v>
      </c>
      <c r="D37" s="82" t="s">
        <v>210</v>
      </c>
      <c r="E37" s="82">
        <v>18340.0</v>
      </c>
      <c r="G37" s="82">
        <v>744.19</v>
      </c>
      <c r="H37" s="82">
        <f t="shared" si="2"/>
        <v>744.19</v>
      </c>
      <c r="I37" s="82">
        <f t="shared" si="1"/>
        <v>0</v>
      </c>
    </row>
    <row r="38" ht="12.75" customHeight="1">
      <c r="A38" s="81">
        <v>45763.0</v>
      </c>
      <c r="B38" s="82" t="s">
        <v>211</v>
      </c>
      <c r="C38" s="82" t="s">
        <v>81</v>
      </c>
      <c r="D38" s="82" t="s">
        <v>212</v>
      </c>
      <c r="E38" s="82">
        <v>200.0</v>
      </c>
      <c r="G38" s="82">
        <v>544.19</v>
      </c>
      <c r="H38" s="82">
        <f t="shared" si="2"/>
        <v>544.19</v>
      </c>
      <c r="I38" s="82">
        <f t="shared" si="1"/>
        <v>0</v>
      </c>
    </row>
    <row r="39" ht="12.75" customHeight="1">
      <c r="A39" s="81">
        <v>45763.0</v>
      </c>
      <c r="B39" s="82" t="s">
        <v>213</v>
      </c>
      <c r="C39" s="82" t="s">
        <v>81</v>
      </c>
      <c r="D39" s="82" t="s">
        <v>214</v>
      </c>
      <c r="E39" s="82">
        <v>20.0</v>
      </c>
      <c r="G39" s="82">
        <v>524.19</v>
      </c>
      <c r="H39" s="82">
        <f t="shared" si="2"/>
        <v>524.19</v>
      </c>
      <c r="I39" s="82">
        <f t="shared" si="1"/>
        <v>0</v>
      </c>
    </row>
    <row r="40" ht="12.75" customHeight="1">
      <c r="A40" s="81">
        <v>45764.0</v>
      </c>
      <c r="B40" s="82" t="s">
        <v>215</v>
      </c>
      <c r="C40" s="83" t="s">
        <v>146</v>
      </c>
      <c r="D40" s="83" t="s">
        <v>147</v>
      </c>
      <c r="F40" s="82">
        <v>127560.48</v>
      </c>
      <c r="G40" s="82">
        <v>128084.67</v>
      </c>
      <c r="H40" s="82">
        <f t="shared" si="2"/>
        <v>128084.67</v>
      </c>
      <c r="I40" s="82">
        <f t="shared" si="1"/>
        <v>0</v>
      </c>
    </row>
    <row r="41" ht="12.75" customHeight="1">
      <c r="A41" s="81">
        <v>45764.0</v>
      </c>
      <c r="B41" s="82" t="s">
        <v>216</v>
      </c>
      <c r="C41" s="82" t="s">
        <v>217</v>
      </c>
      <c r="D41" s="82" t="s">
        <v>218</v>
      </c>
      <c r="E41" s="82">
        <v>73962.0</v>
      </c>
      <c r="G41" s="82">
        <v>54122.67</v>
      </c>
      <c r="H41" s="82">
        <f t="shared" si="2"/>
        <v>54122.67</v>
      </c>
      <c r="I41" s="82">
        <f t="shared" si="1"/>
        <v>0</v>
      </c>
    </row>
    <row r="42" ht="12.75" customHeight="1">
      <c r="A42" s="81">
        <v>45764.0</v>
      </c>
      <c r="B42" s="82" t="s">
        <v>219</v>
      </c>
      <c r="C42" s="82" t="s">
        <v>86</v>
      </c>
      <c r="D42" s="82" t="s">
        <v>220</v>
      </c>
      <c r="E42" s="82">
        <v>3600.0</v>
      </c>
      <c r="G42" s="82">
        <v>50522.67</v>
      </c>
      <c r="H42" s="82">
        <f t="shared" si="2"/>
        <v>50522.67</v>
      </c>
      <c r="I42" s="82">
        <f t="shared" si="1"/>
        <v>0</v>
      </c>
    </row>
    <row r="43" ht="12.75" customHeight="1">
      <c r="A43" s="81">
        <v>45764.0</v>
      </c>
      <c r="B43" s="82" t="s">
        <v>221</v>
      </c>
      <c r="C43" s="82" t="s">
        <v>86</v>
      </c>
      <c r="D43" s="82" t="s">
        <v>222</v>
      </c>
      <c r="E43" s="82">
        <v>3600.0</v>
      </c>
      <c r="G43" s="82">
        <v>46922.67</v>
      </c>
      <c r="H43" s="82">
        <f t="shared" si="2"/>
        <v>46922.67</v>
      </c>
      <c r="I43" s="82">
        <f t="shared" si="1"/>
        <v>0</v>
      </c>
    </row>
    <row r="44" ht="12.75" customHeight="1">
      <c r="A44" s="81">
        <v>45764.0</v>
      </c>
      <c r="B44" s="82" t="s">
        <v>223</v>
      </c>
      <c r="C44" s="82" t="s">
        <v>86</v>
      </c>
      <c r="D44" s="82" t="s">
        <v>224</v>
      </c>
      <c r="E44" s="82">
        <v>3600.0</v>
      </c>
      <c r="G44" s="82">
        <v>43322.67</v>
      </c>
      <c r="H44" s="82">
        <f t="shared" si="2"/>
        <v>43322.67</v>
      </c>
      <c r="I44" s="82">
        <f t="shared" si="1"/>
        <v>0</v>
      </c>
    </row>
    <row r="45" ht="12.75" customHeight="1">
      <c r="A45" s="81">
        <v>45765.0</v>
      </c>
      <c r="B45" s="82" t="s">
        <v>225</v>
      </c>
      <c r="C45" s="82" t="s">
        <v>98</v>
      </c>
      <c r="D45" s="82" t="s">
        <v>226</v>
      </c>
      <c r="E45" s="82">
        <v>1400.0</v>
      </c>
      <c r="G45" s="82">
        <v>41922.67</v>
      </c>
      <c r="H45" s="82">
        <f t="shared" si="2"/>
        <v>41922.67</v>
      </c>
      <c r="I45" s="82">
        <f t="shared" si="1"/>
        <v>0</v>
      </c>
    </row>
    <row r="46" ht="12.75" customHeight="1">
      <c r="A46" s="81">
        <v>45765.0</v>
      </c>
      <c r="B46" s="82" t="s">
        <v>227</v>
      </c>
      <c r="C46" s="82" t="s">
        <v>98</v>
      </c>
      <c r="D46" s="82" t="s">
        <v>228</v>
      </c>
      <c r="E46" s="82">
        <v>4400.0</v>
      </c>
      <c r="G46" s="82">
        <v>37522.67</v>
      </c>
      <c r="H46" s="82">
        <f t="shared" si="2"/>
        <v>37522.67</v>
      </c>
      <c r="I46" s="82">
        <f t="shared" si="1"/>
        <v>0</v>
      </c>
    </row>
    <row r="47" ht="12.75" customHeight="1">
      <c r="A47" s="81">
        <v>45765.0</v>
      </c>
      <c r="B47" s="82" t="s">
        <v>229</v>
      </c>
      <c r="C47" s="82" t="s">
        <v>88</v>
      </c>
      <c r="D47" s="82" t="s">
        <v>230</v>
      </c>
      <c r="E47" s="82">
        <v>5313.54</v>
      </c>
      <c r="G47" s="82">
        <v>32209.13</v>
      </c>
      <c r="H47" s="82">
        <f t="shared" si="2"/>
        <v>32209.13</v>
      </c>
      <c r="I47" s="82">
        <f t="shared" si="1"/>
        <v>0</v>
      </c>
    </row>
    <row r="48" ht="12.75" customHeight="1">
      <c r="A48" s="81">
        <v>45765.0</v>
      </c>
      <c r="B48" s="82" t="s">
        <v>231</v>
      </c>
      <c r="C48" s="82" t="s">
        <v>95</v>
      </c>
      <c r="D48" s="82" t="s">
        <v>232</v>
      </c>
      <c r="E48" s="82">
        <v>800.0</v>
      </c>
      <c r="G48" s="82">
        <v>31409.13</v>
      </c>
      <c r="H48" s="82">
        <f t="shared" si="2"/>
        <v>31409.13</v>
      </c>
      <c r="I48" s="82">
        <f t="shared" si="1"/>
        <v>0</v>
      </c>
    </row>
    <row r="49" ht="12.75" customHeight="1">
      <c r="A49" s="81">
        <v>45766.0</v>
      </c>
      <c r="B49" s="82" t="s">
        <v>233</v>
      </c>
      <c r="C49" s="83" t="s">
        <v>89</v>
      </c>
      <c r="D49" s="83" t="s">
        <v>234</v>
      </c>
      <c r="E49" s="82">
        <v>5000.0</v>
      </c>
      <c r="G49" s="82">
        <v>26409.13</v>
      </c>
      <c r="H49" s="82">
        <f t="shared" si="2"/>
        <v>26409.13</v>
      </c>
      <c r="I49" s="82">
        <f t="shared" si="1"/>
        <v>0</v>
      </c>
    </row>
    <row r="50" ht="12.75" customHeight="1">
      <c r="A50" s="81">
        <v>45766.0</v>
      </c>
      <c r="B50" s="82" t="s">
        <v>235</v>
      </c>
      <c r="C50" s="83" t="s">
        <v>92</v>
      </c>
      <c r="D50" s="83" t="s">
        <v>236</v>
      </c>
      <c r="E50" s="82">
        <v>3308.0</v>
      </c>
      <c r="G50" s="82">
        <v>23101.13</v>
      </c>
      <c r="H50" s="82">
        <f t="shared" si="2"/>
        <v>23101.13</v>
      </c>
      <c r="I50" s="82">
        <f t="shared" si="1"/>
        <v>0</v>
      </c>
    </row>
    <row r="51" ht="12.75" customHeight="1">
      <c r="A51" s="81">
        <v>45768.0</v>
      </c>
      <c r="B51" s="82" t="s">
        <v>237</v>
      </c>
      <c r="C51" s="82" t="s">
        <v>87</v>
      </c>
      <c r="D51" s="82" t="s">
        <v>155</v>
      </c>
      <c r="E51" s="82">
        <v>1830.0</v>
      </c>
      <c r="G51" s="82">
        <v>21271.13</v>
      </c>
      <c r="H51" s="82">
        <f t="shared" si="2"/>
        <v>21271.13</v>
      </c>
      <c r="I51" s="82">
        <f t="shared" si="1"/>
        <v>0</v>
      </c>
    </row>
    <row r="52" ht="12.75" customHeight="1">
      <c r="A52" s="81">
        <v>45768.0</v>
      </c>
      <c r="B52" s="82" t="s">
        <v>238</v>
      </c>
      <c r="C52" s="82" t="s">
        <v>90</v>
      </c>
      <c r="D52" s="82" t="s">
        <v>239</v>
      </c>
      <c r="E52" s="82">
        <v>20.0</v>
      </c>
      <c r="G52" s="82">
        <v>21251.13</v>
      </c>
      <c r="H52" s="82">
        <f t="shared" si="2"/>
        <v>21251.13</v>
      </c>
      <c r="I52" s="82">
        <f t="shared" si="1"/>
        <v>0</v>
      </c>
    </row>
    <row r="53" ht="12.75" customHeight="1">
      <c r="A53" s="81">
        <v>45772.0</v>
      </c>
      <c r="B53" s="82" t="s">
        <v>240</v>
      </c>
      <c r="C53" s="82" t="s">
        <v>100</v>
      </c>
      <c r="D53" s="82" t="s">
        <v>149</v>
      </c>
      <c r="E53" s="82">
        <v>180.9</v>
      </c>
      <c r="G53" s="82">
        <v>21070.23</v>
      </c>
      <c r="H53" s="82">
        <f t="shared" si="2"/>
        <v>21070.23</v>
      </c>
      <c r="I53" s="82">
        <f t="shared" si="1"/>
        <v>0</v>
      </c>
    </row>
    <row r="54" ht="12.75" customHeight="1">
      <c r="A54" s="81">
        <v>45773.0</v>
      </c>
      <c r="B54" s="82" t="s">
        <v>241</v>
      </c>
      <c r="C54" s="82" t="s">
        <v>242</v>
      </c>
      <c r="D54" s="82" t="s">
        <v>243</v>
      </c>
      <c r="E54" s="82">
        <v>2310.0</v>
      </c>
      <c r="G54" s="82">
        <v>18760.23</v>
      </c>
      <c r="H54" s="82">
        <f t="shared" si="2"/>
        <v>18760.23</v>
      </c>
      <c r="I54" s="82">
        <f t="shared" si="1"/>
        <v>0</v>
      </c>
    </row>
    <row r="55" ht="12.75" customHeight="1">
      <c r="A55" s="81">
        <v>45773.0</v>
      </c>
      <c r="B55" s="82" t="s">
        <v>244</v>
      </c>
      <c r="C55" s="82" t="s">
        <v>95</v>
      </c>
      <c r="D55" s="82" t="s">
        <v>245</v>
      </c>
      <c r="E55" s="82">
        <v>500.0</v>
      </c>
      <c r="G55" s="82">
        <v>18260.23</v>
      </c>
      <c r="H55" s="82">
        <f t="shared" si="2"/>
        <v>18260.23</v>
      </c>
      <c r="I55" s="82">
        <f t="shared" si="1"/>
        <v>0</v>
      </c>
    </row>
    <row r="56" ht="12.75" customHeight="1">
      <c r="A56" s="81">
        <v>45775.0</v>
      </c>
      <c r="B56" s="82" t="s">
        <v>246</v>
      </c>
      <c r="C56" s="82" t="s">
        <v>90</v>
      </c>
      <c r="D56" s="82" t="s">
        <v>247</v>
      </c>
      <c r="E56" s="82">
        <v>50.0</v>
      </c>
      <c r="G56" s="82">
        <v>18210.23</v>
      </c>
      <c r="H56" s="82">
        <f t="shared" si="2"/>
        <v>18210.23</v>
      </c>
      <c r="I56" s="82">
        <f t="shared" si="1"/>
        <v>0</v>
      </c>
    </row>
    <row r="57" ht="12.75" customHeight="1">
      <c r="A57" s="81">
        <v>45775.0</v>
      </c>
      <c r="B57" s="82" t="s">
        <v>248</v>
      </c>
      <c r="C57" s="82" t="s">
        <v>90</v>
      </c>
      <c r="D57" s="82" t="s">
        <v>249</v>
      </c>
      <c r="E57" s="82">
        <v>50.0</v>
      </c>
      <c r="G57" s="82">
        <v>18160.23</v>
      </c>
      <c r="H57" s="82">
        <f t="shared" si="2"/>
        <v>18160.23</v>
      </c>
      <c r="I57" s="82">
        <f t="shared" si="1"/>
        <v>0</v>
      </c>
    </row>
    <row r="58" ht="12.75" customHeight="1">
      <c r="A58" s="81">
        <v>45775.0</v>
      </c>
      <c r="B58" s="82" t="s">
        <v>250</v>
      </c>
      <c r="C58" s="82" t="s">
        <v>90</v>
      </c>
      <c r="D58" s="82" t="s">
        <v>251</v>
      </c>
      <c r="E58" s="82">
        <v>50.0</v>
      </c>
      <c r="G58" s="82">
        <v>18110.23</v>
      </c>
      <c r="H58" s="82">
        <f t="shared" si="2"/>
        <v>18110.23</v>
      </c>
      <c r="I58" s="82">
        <f t="shared" si="1"/>
        <v>0</v>
      </c>
    </row>
    <row r="59" ht="12.75" customHeight="1">
      <c r="A59" s="81">
        <v>45779.0</v>
      </c>
      <c r="B59" s="82" t="s">
        <v>252</v>
      </c>
      <c r="C59" s="82" t="s">
        <v>146</v>
      </c>
      <c r="D59" s="82" t="s">
        <v>147</v>
      </c>
      <c r="F59" s="82">
        <v>126031.47</v>
      </c>
      <c r="G59" s="82">
        <v>144141.7</v>
      </c>
      <c r="H59" s="82">
        <f t="shared" si="2"/>
        <v>144141.7</v>
      </c>
      <c r="I59" s="82">
        <f t="shared" si="1"/>
        <v>0</v>
      </c>
    </row>
    <row r="60" ht="12.75" customHeight="1">
      <c r="A60" s="81">
        <v>45779.0</v>
      </c>
      <c r="B60" s="82" t="s">
        <v>253</v>
      </c>
      <c r="C60" s="82" t="s">
        <v>83</v>
      </c>
      <c r="D60" s="82" t="s">
        <v>160</v>
      </c>
      <c r="E60" s="82">
        <v>90842.0</v>
      </c>
      <c r="G60" s="82">
        <v>53299.7</v>
      </c>
      <c r="H60" s="82">
        <f t="shared" si="2"/>
        <v>53299.7</v>
      </c>
      <c r="I60" s="82">
        <f t="shared" si="1"/>
        <v>0</v>
      </c>
    </row>
    <row r="61" ht="12.75" customHeight="1">
      <c r="A61" s="81">
        <v>45779.0</v>
      </c>
      <c r="B61" s="82" t="s">
        <v>254</v>
      </c>
      <c r="C61" s="82" t="s">
        <v>100</v>
      </c>
      <c r="D61" s="82" t="s">
        <v>149</v>
      </c>
      <c r="E61" s="82">
        <v>220.9</v>
      </c>
      <c r="G61" s="82">
        <v>53078.8</v>
      </c>
      <c r="H61" s="82">
        <f t="shared" si="2"/>
        <v>53078.8</v>
      </c>
      <c r="I61" s="82">
        <f t="shared" si="1"/>
        <v>0</v>
      </c>
    </row>
    <row r="62" ht="12.75" customHeight="1">
      <c r="A62" s="81">
        <v>45779.0</v>
      </c>
      <c r="B62" s="82" t="s">
        <v>255</v>
      </c>
      <c r="C62" s="82" t="s">
        <v>100</v>
      </c>
      <c r="D62" s="82" t="s">
        <v>149</v>
      </c>
      <c r="E62" s="82">
        <v>300.9</v>
      </c>
      <c r="G62" s="82">
        <v>52777.9</v>
      </c>
      <c r="H62" s="82">
        <f t="shared" si="2"/>
        <v>52777.9</v>
      </c>
      <c r="I62" s="82">
        <f t="shared" si="1"/>
        <v>0</v>
      </c>
    </row>
    <row r="63" ht="12.75" customHeight="1">
      <c r="A63" s="81">
        <v>45779.0</v>
      </c>
      <c r="B63" s="82" t="s">
        <v>256</v>
      </c>
      <c r="C63" s="83" t="s">
        <v>97</v>
      </c>
      <c r="D63" s="83" t="s">
        <v>257</v>
      </c>
      <c r="E63" s="82">
        <v>649.0</v>
      </c>
      <c r="G63" s="82">
        <v>52128.9</v>
      </c>
      <c r="H63" s="82">
        <f t="shared" si="2"/>
        <v>52128.9</v>
      </c>
      <c r="I63" s="82">
        <f t="shared" si="1"/>
        <v>0</v>
      </c>
    </row>
    <row r="64" ht="12.75" customHeight="1">
      <c r="A64" s="81">
        <v>45782.0</v>
      </c>
      <c r="B64" s="82" t="s">
        <v>258</v>
      </c>
      <c r="C64" s="82" t="s">
        <v>91</v>
      </c>
      <c r="D64" s="82" t="s">
        <v>162</v>
      </c>
      <c r="E64" s="82">
        <v>18875.0</v>
      </c>
      <c r="G64" s="82">
        <v>33253.9</v>
      </c>
      <c r="H64" s="82">
        <f t="shared" si="2"/>
        <v>33253.9</v>
      </c>
      <c r="I64" s="82">
        <f t="shared" si="1"/>
        <v>0</v>
      </c>
    </row>
    <row r="65" ht="12.75" customHeight="1">
      <c r="A65" s="81">
        <v>45783.0</v>
      </c>
      <c r="B65" s="82" t="s">
        <v>259</v>
      </c>
      <c r="C65" s="82" t="s">
        <v>91</v>
      </c>
      <c r="D65" s="82" t="s">
        <v>260</v>
      </c>
      <c r="E65" s="82">
        <v>8875.0</v>
      </c>
      <c r="G65" s="82">
        <v>24378.9</v>
      </c>
      <c r="H65" s="82">
        <f t="shared" si="2"/>
        <v>24378.9</v>
      </c>
      <c r="I65" s="82">
        <f t="shared" si="1"/>
        <v>0</v>
      </c>
    </row>
    <row r="66" ht="12.75" customHeight="1">
      <c r="A66" s="81">
        <v>45783.0</v>
      </c>
      <c r="B66" s="82" t="s">
        <v>261</v>
      </c>
      <c r="C66" s="82" t="s">
        <v>87</v>
      </c>
      <c r="D66" s="82" t="s">
        <v>155</v>
      </c>
      <c r="E66" s="82">
        <v>3330.0</v>
      </c>
      <c r="G66" s="82">
        <v>21048.9</v>
      </c>
      <c r="H66" s="82">
        <f t="shared" si="2"/>
        <v>21048.9</v>
      </c>
      <c r="I66" s="82">
        <f t="shared" si="1"/>
        <v>0</v>
      </c>
    </row>
    <row r="67" ht="12.75" customHeight="1">
      <c r="A67" s="81">
        <v>45784.0</v>
      </c>
      <c r="B67" s="82" t="s">
        <v>262</v>
      </c>
      <c r="C67" s="82" t="s">
        <v>104</v>
      </c>
      <c r="D67" s="82" t="s">
        <v>104</v>
      </c>
      <c r="E67" s="82">
        <v>5.9</v>
      </c>
      <c r="G67" s="82">
        <v>21043.0</v>
      </c>
      <c r="H67" s="82">
        <f t="shared" si="2"/>
        <v>21043</v>
      </c>
      <c r="I67" s="82">
        <f t="shared" si="1"/>
        <v>0</v>
      </c>
    </row>
    <row r="68" ht="12.75" customHeight="1">
      <c r="A68" s="81">
        <v>45784.0</v>
      </c>
      <c r="B68" s="82" t="s">
        <v>263</v>
      </c>
      <c r="C68" s="83" t="s">
        <v>104</v>
      </c>
      <c r="D68" s="83" t="s">
        <v>104</v>
      </c>
      <c r="E68" s="82">
        <v>10.0</v>
      </c>
      <c r="G68" s="82">
        <v>21033.0</v>
      </c>
      <c r="H68" s="82">
        <f t="shared" si="2"/>
        <v>21033</v>
      </c>
      <c r="I68" s="82">
        <f t="shared" si="1"/>
        <v>0</v>
      </c>
    </row>
    <row r="69" ht="12.75" customHeight="1">
      <c r="A69" s="81">
        <v>45784.0</v>
      </c>
      <c r="B69" s="82" t="s">
        <v>264</v>
      </c>
      <c r="C69" s="82" t="s">
        <v>108</v>
      </c>
      <c r="D69" s="82" t="s">
        <v>265</v>
      </c>
      <c r="E69" s="82">
        <v>200.0</v>
      </c>
      <c r="G69" s="82">
        <v>20833.0</v>
      </c>
      <c r="H69" s="82">
        <f t="shared" si="2"/>
        <v>20833</v>
      </c>
      <c r="I69" s="82">
        <f t="shared" si="1"/>
        <v>0</v>
      </c>
    </row>
    <row r="70" ht="12.75" customHeight="1">
      <c r="A70" s="81">
        <v>45784.0</v>
      </c>
      <c r="B70" s="82" t="s">
        <v>266</v>
      </c>
      <c r="C70" s="82" t="s">
        <v>108</v>
      </c>
      <c r="D70" s="82" t="s">
        <v>267</v>
      </c>
      <c r="E70" s="82">
        <v>1000.0</v>
      </c>
      <c r="G70" s="82">
        <v>19833.0</v>
      </c>
      <c r="H70" s="82">
        <f t="shared" si="2"/>
        <v>19833</v>
      </c>
      <c r="I70" s="82">
        <f t="shared" si="1"/>
        <v>0</v>
      </c>
    </row>
    <row r="71" ht="12.75" customHeight="1">
      <c r="A71" s="81">
        <v>45785.0</v>
      </c>
      <c r="B71" s="82" t="s">
        <v>268</v>
      </c>
      <c r="C71" s="83" t="s">
        <v>97</v>
      </c>
      <c r="D71" s="83" t="s">
        <v>166</v>
      </c>
      <c r="E71" s="82">
        <v>1628.4</v>
      </c>
      <c r="G71" s="82">
        <v>18204.6</v>
      </c>
      <c r="H71" s="82">
        <f t="shared" si="2"/>
        <v>18204.6</v>
      </c>
      <c r="I71" s="82">
        <f t="shared" si="1"/>
        <v>0</v>
      </c>
    </row>
    <row r="72" ht="12.75" customHeight="1">
      <c r="A72" s="81">
        <v>45785.0</v>
      </c>
      <c r="B72" s="82" t="s">
        <v>269</v>
      </c>
      <c r="C72" s="82" t="s">
        <v>102</v>
      </c>
      <c r="D72" s="82" t="s">
        <v>270</v>
      </c>
      <c r="E72" s="82">
        <v>5000.0</v>
      </c>
      <c r="G72" s="82">
        <v>13204.6</v>
      </c>
      <c r="H72" s="82">
        <f t="shared" si="2"/>
        <v>13204.6</v>
      </c>
      <c r="I72" s="82">
        <f t="shared" si="1"/>
        <v>0</v>
      </c>
    </row>
    <row r="73" ht="12.75" customHeight="1">
      <c r="A73" s="81">
        <v>45787.0</v>
      </c>
      <c r="B73" s="82" t="s">
        <v>271</v>
      </c>
      <c r="C73" s="82" t="s">
        <v>87</v>
      </c>
      <c r="D73" s="82" t="s">
        <v>272</v>
      </c>
      <c r="E73" s="82">
        <v>480.0</v>
      </c>
      <c r="G73" s="82">
        <v>12724.6</v>
      </c>
      <c r="H73" s="82">
        <f t="shared" si="2"/>
        <v>12724.6</v>
      </c>
      <c r="I73" s="82">
        <f t="shared" si="1"/>
        <v>0</v>
      </c>
    </row>
    <row r="74" ht="12.75" customHeight="1">
      <c r="A74" s="81">
        <v>45787.0</v>
      </c>
      <c r="B74" s="82" t="s">
        <v>273</v>
      </c>
      <c r="C74" s="83" t="s">
        <v>106</v>
      </c>
      <c r="D74" s="83" t="s">
        <v>274</v>
      </c>
      <c r="E74" s="82">
        <v>6844.0</v>
      </c>
      <c r="G74" s="82">
        <v>5880.6</v>
      </c>
      <c r="H74" s="82">
        <f t="shared" si="2"/>
        <v>5880.6</v>
      </c>
      <c r="I74" s="82">
        <f t="shared" si="1"/>
        <v>0</v>
      </c>
    </row>
    <row r="75" ht="12.75" customHeight="1">
      <c r="A75" s="81">
        <v>45789.0</v>
      </c>
      <c r="B75" s="82" t="s">
        <v>275</v>
      </c>
      <c r="C75" s="83" t="s">
        <v>107</v>
      </c>
      <c r="D75" s="83" t="s">
        <v>276</v>
      </c>
      <c r="E75" s="82">
        <v>1003.0</v>
      </c>
      <c r="G75" s="82">
        <v>4877.6</v>
      </c>
      <c r="H75" s="82">
        <f t="shared" si="2"/>
        <v>4877.6</v>
      </c>
      <c r="I75" s="82">
        <f t="shared" si="1"/>
        <v>0</v>
      </c>
    </row>
    <row r="76" ht="12.75" customHeight="1">
      <c r="A76" s="81">
        <v>45789.0</v>
      </c>
      <c r="B76" s="82" t="s">
        <v>277</v>
      </c>
      <c r="C76" s="83" t="s">
        <v>104</v>
      </c>
      <c r="D76" s="83" t="s">
        <v>104</v>
      </c>
      <c r="E76" s="82">
        <v>23.6</v>
      </c>
      <c r="G76" s="82">
        <v>4854.0</v>
      </c>
      <c r="H76" s="82">
        <f t="shared" si="2"/>
        <v>4854</v>
      </c>
      <c r="I76" s="82">
        <f t="shared" si="1"/>
        <v>0</v>
      </c>
    </row>
    <row r="77" ht="12.75" customHeight="1">
      <c r="A77" s="81">
        <v>45789.0</v>
      </c>
      <c r="B77" s="82" t="s">
        <v>278</v>
      </c>
      <c r="C77" s="82" t="s">
        <v>173</v>
      </c>
      <c r="D77" s="82" t="s">
        <v>110</v>
      </c>
      <c r="F77" s="82">
        <v>187921.87</v>
      </c>
      <c r="G77" s="82">
        <v>192775.87</v>
      </c>
      <c r="H77" s="82">
        <f t="shared" si="2"/>
        <v>192775.87</v>
      </c>
      <c r="I77" s="82">
        <f t="shared" si="1"/>
        <v>0</v>
      </c>
    </row>
    <row r="78" ht="12.75" customHeight="1">
      <c r="A78" s="81">
        <v>45790.0</v>
      </c>
      <c r="B78" s="82" t="s">
        <v>279</v>
      </c>
      <c r="C78" s="83" t="s">
        <v>96</v>
      </c>
      <c r="D78" s="83" t="s">
        <v>175</v>
      </c>
      <c r="E78" s="82">
        <v>174793.0</v>
      </c>
      <c r="G78" s="82">
        <v>17982.87</v>
      </c>
      <c r="H78" s="82">
        <f t="shared" si="2"/>
        <v>17982.87</v>
      </c>
      <c r="I78" s="82">
        <f t="shared" si="1"/>
        <v>0</v>
      </c>
    </row>
    <row r="79" ht="12.75" customHeight="1">
      <c r="A79" s="81">
        <v>45790.0</v>
      </c>
      <c r="B79" s="82" t="s">
        <v>280</v>
      </c>
      <c r="C79" s="83" t="s">
        <v>98</v>
      </c>
      <c r="D79" s="83" t="s">
        <v>281</v>
      </c>
      <c r="E79" s="82">
        <v>14000.0</v>
      </c>
      <c r="G79" s="82">
        <v>3982.87</v>
      </c>
      <c r="H79" s="82">
        <f t="shared" si="2"/>
        <v>3982.87</v>
      </c>
      <c r="I79" s="82">
        <f t="shared" si="1"/>
        <v>0</v>
      </c>
    </row>
    <row r="80" ht="12.75" customHeight="1">
      <c r="A80" s="81">
        <v>45790.0</v>
      </c>
      <c r="B80" s="82" t="s">
        <v>282</v>
      </c>
      <c r="C80" s="82" t="s">
        <v>87</v>
      </c>
      <c r="D80" s="82" t="s">
        <v>171</v>
      </c>
      <c r="E80" s="82">
        <v>1675.0</v>
      </c>
      <c r="G80" s="82">
        <v>2307.87</v>
      </c>
      <c r="H80" s="82">
        <f t="shared" si="2"/>
        <v>2307.87</v>
      </c>
      <c r="I80" s="82">
        <f t="shared" si="1"/>
        <v>0</v>
      </c>
    </row>
    <row r="81" ht="12.75" customHeight="1">
      <c r="A81" s="81">
        <v>45790.0</v>
      </c>
      <c r="B81" s="82" t="s">
        <v>283</v>
      </c>
      <c r="C81" s="82" t="s">
        <v>87</v>
      </c>
      <c r="D81" s="82" t="s">
        <v>155</v>
      </c>
      <c r="E81" s="82">
        <v>1665.0</v>
      </c>
      <c r="G81" s="82">
        <v>642.87</v>
      </c>
      <c r="H81" s="82">
        <f t="shared" si="2"/>
        <v>642.87</v>
      </c>
      <c r="I81" s="82">
        <f t="shared" si="1"/>
        <v>0</v>
      </c>
    </row>
    <row r="82" ht="12.75" customHeight="1">
      <c r="A82" s="81">
        <v>45791.0</v>
      </c>
      <c r="B82" s="82" t="s">
        <v>284</v>
      </c>
      <c r="C82" s="82" t="s">
        <v>105</v>
      </c>
      <c r="D82" s="82" t="s">
        <v>103</v>
      </c>
      <c r="F82" s="82">
        <v>10.0</v>
      </c>
      <c r="G82" s="82">
        <v>652.87</v>
      </c>
      <c r="H82" s="82">
        <f t="shared" si="2"/>
        <v>652.87</v>
      </c>
      <c r="I82" s="82">
        <f t="shared" si="1"/>
        <v>0</v>
      </c>
    </row>
    <row r="83" ht="12.75" customHeight="1">
      <c r="A83" s="81">
        <v>45794.0</v>
      </c>
      <c r="B83" s="82" t="s">
        <v>285</v>
      </c>
      <c r="C83" s="82" t="s">
        <v>146</v>
      </c>
      <c r="D83" s="82" t="s">
        <v>147</v>
      </c>
      <c r="F83" s="82">
        <v>127491.22</v>
      </c>
      <c r="G83" s="82">
        <v>128144.09</v>
      </c>
      <c r="H83" s="82">
        <f t="shared" si="2"/>
        <v>128144.09</v>
      </c>
      <c r="I83" s="82">
        <f t="shared" si="1"/>
        <v>0</v>
      </c>
    </row>
    <row r="84" ht="12.75" customHeight="1">
      <c r="A84" s="81">
        <v>45795.0</v>
      </c>
      <c r="B84" s="82" t="s">
        <v>286</v>
      </c>
      <c r="C84" s="82" t="s">
        <v>83</v>
      </c>
      <c r="D84" s="82" t="s">
        <v>218</v>
      </c>
      <c r="E84" s="82">
        <v>73962.0</v>
      </c>
      <c r="G84" s="82">
        <v>54182.09</v>
      </c>
      <c r="H84" s="82">
        <f t="shared" si="2"/>
        <v>54182.09</v>
      </c>
      <c r="I84" s="82">
        <f t="shared" si="1"/>
        <v>0</v>
      </c>
    </row>
    <row r="85" ht="12.75" customHeight="1">
      <c r="A85" s="81">
        <v>45795.0</v>
      </c>
      <c r="B85" s="82" t="s">
        <v>287</v>
      </c>
      <c r="C85" s="82" t="s">
        <v>86</v>
      </c>
      <c r="D85" s="82" t="s">
        <v>288</v>
      </c>
      <c r="E85" s="82">
        <v>32437.0</v>
      </c>
      <c r="G85" s="82">
        <v>21745.09</v>
      </c>
      <c r="H85" s="82">
        <f t="shared" si="2"/>
        <v>21745.09</v>
      </c>
      <c r="I85" s="82">
        <f t="shared" si="1"/>
        <v>0</v>
      </c>
    </row>
    <row r="86" ht="12.75" customHeight="1">
      <c r="A86" s="81">
        <v>45795.0</v>
      </c>
      <c r="B86" s="82" t="s">
        <v>289</v>
      </c>
      <c r="C86" s="82" t="s">
        <v>86</v>
      </c>
      <c r="D86" s="82" t="s">
        <v>290</v>
      </c>
      <c r="E86" s="82">
        <v>3600.0</v>
      </c>
      <c r="G86" s="82">
        <v>18145.09</v>
      </c>
      <c r="H86" s="82">
        <f t="shared" si="2"/>
        <v>18145.09</v>
      </c>
      <c r="I86" s="82">
        <f t="shared" si="1"/>
        <v>0</v>
      </c>
    </row>
    <row r="87" ht="12.75" customHeight="1">
      <c r="A87" s="81">
        <v>45795.0</v>
      </c>
      <c r="B87" s="82" t="s">
        <v>291</v>
      </c>
      <c r="C87" s="82" t="s">
        <v>86</v>
      </c>
      <c r="D87" s="82" t="s">
        <v>292</v>
      </c>
      <c r="E87" s="82">
        <v>3600.0</v>
      </c>
      <c r="G87" s="82">
        <v>14545.09</v>
      </c>
      <c r="H87" s="82">
        <f t="shared" si="2"/>
        <v>14545.09</v>
      </c>
      <c r="I87" s="82">
        <f t="shared" si="1"/>
        <v>0</v>
      </c>
    </row>
    <row r="88" ht="12.75" customHeight="1">
      <c r="A88" s="81">
        <v>45795.0</v>
      </c>
      <c r="B88" s="82" t="s">
        <v>293</v>
      </c>
      <c r="C88" s="82" t="s">
        <v>86</v>
      </c>
      <c r="D88" s="82" t="s">
        <v>294</v>
      </c>
      <c r="E88" s="82">
        <v>3600.0</v>
      </c>
      <c r="G88" s="82">
        <v>10945.09</v>
      </c>
      <c r="H88" s="82">
        <f t="shared" si="2"/>
        <v>10945.09</v>
      </c>
      <c r="I88" s="82">
        <f t="shared" si="1"/>
        <v>0</v>
      </c>
    </row>
    <row r="89" ht="12.75" customHeight="1">
      <c r="A89" s="81">
        <v>45797.0</v>
      </c>
      <c r="B89" s="82" t="s">
        <v>295</v>
      </c>
      <c r="C89" s="83" t="s">
        <v>92</v>
      </c>
      <c r="D89" s="83" t="s">
        <v>236</v>
      </c>
      <c r="E89" s="82">
        <v>3308.0</v>
      </c>
      <c r="G89" s="82">
        <v>7637.09</v>
      </c>
      <c r="H89" s="82">
        <f t="shared" si="2"/>
        <v>7637.09</v>
      </c>
      <c r="I89" s="82">
        <f t="shared" si="1"/>
        <v>0</v>
      </c>
    </row>
    <row r="90" ht="12.75" customHeight="1">
      <c r="A90" s="81">
        <v>45797.0</v>
      </c>
      <c r="B90" s="82" t="s">
        <v>296</v>
      </c>
      <c r="C90" s="83" t="s">
        <v>107</v>
      </c>
      <c r="D90" s="82" t="s">
        <v>158</v>
      </c>
      <c r="E90" s="82">
        <v>1003.0</v>
      </c>
      <c r="G90" s="82">
        <v>6634.09</v>
      </c>
      <c r="H90" s="82">
        <f t="shared" si="2"/>
        <v>6634.09</v>
      </c>
      <c r="I90" s="82">
        <f t="shared" si="1"/>
        <v>0</v>
      </c>
    </row>
    <row r="91" ht="12.75" customHeight="1">
      <c r="A91" s="81">
        <v>45798.0</v>
      </c>
      <c r="B91" s="82" t="s">
        <v>297</v>
      </c>
      <c r="C91" s="82" t="s">
        <v>102</v>
      </c>
      <c r="D91" s="82" t="s">
        <v>298</v>
      </c>
      <c r="E91" s="82">
        <v>5000.0</v>
      </c>
      <c r="G91" s="82">
        <v>1634.09</v>
      </c>
      <c r="H91" s="82">
        <f t="shared" si="2"/>
        <v>1634.09</v>
      </c>
      <c r="I91" s="82">
        <f t="shared" si="1"/>
        <v>0</v>
      </c>
    </row>
    <row r="92" ht="12.75" customHeight="1">
      <c r="A92" s="81">
        <v>45799.0</v>
      </c>
      <c r="B92" s="82" t="s">
        <v>299</v>
      </c>
      <c r="C92" s="82" t="s">
        <v>87</v>
      </c>
      <c r="D92" s="82" t="s">
        <v>171</v>
      </c>
      <c r="E92" s="82">
        <v>750.0</v>
      </c>
      <c r="G92" s="82">
        <v>884.09</v>
      </c>
      <c r="H92" s="82">
        <f t="shared" si="2"/>
        <v>884.09</v>
      </c>
      <c r="I92" s="82">
        <f t="shared" si="1"/>
        <v>0</v>
      </c>
    </row>
    <row r="93" ht="12.75" customHeight="1">
      <c r="A93" s="81">
        <v>45799.0</v>
      </c>
      <c r="B93" s="82" t="s">
        <v>300</v>
      </c>
      <c r="C93" s="82" t="s">
        <v>100</v>
      </c>
      <c r="D93" s="82" t="s">
        <v>149</v>
      </c>
      <c r="E93" s="82">
        <v>300.9</v>
      </c>
      <c r="G93" s="82">
        <v>583.19</v>
      </c>
      <c r="H93" s="82">
        <f t="shared" si="2"/>
        <v>583.19</v>
      </c>
      <c r="I93" s="82">
        <f t="shared" si="1"/>
        <v>0</v>
      </c>
    </row>
    <row r="94" ht="12.75" customHeight="1">
      <c r="A94" s="81">
        <v>45806.0</v>
      </c>
      <c r="B94" s="82" t="s">
        <v>301</v>
      </c>
      <c r="C94" s="83" t="s">
        <v>103</v>
      </c>
      <c r="D94" s="82" t="s">
        <v>302</v>
      </c>
      <c r="F94" s="82">
        <v>4500.0</v>
      </c>
      <c r="G94" s="82">
        <v>5083.19</v>
      </c>
      <c r="H94" s="82">
        <f t="shared" si="2"/>
        <v>5083.19</v>
      </c>
      <c r="I94" s="82">
        <f t="shared" si="1"/>
        <v>0</v>
      </c>
    </row>
    <row r="95" ht="12.75" customHeight="1">
      <c r="A95" s="81">
        <v>45806.0</v>
      </c>
      <c r="B95" s="82" t="s">
        <v>303</v>
      </c>
      <c r="C95" s="83" t="s">
        <v>107</v>
      </c>
      <c r="D95" s="83" t="s">
        <v>276</v>
      </c>
      <c r="E95" s="82">
        <v>1003.0</v>
      </c>
      <c r="G95" s="82">
        <v>4080.19</v>
      </c>
      <c r="H95" s="82">
        <f t="shared" si="2"/>
        <v>4080.19</v>
      </c>
      <c r="I95" s="82">
        <f t="shared" si="1"/>
        <v>0</v>
      </c>
    </row>
    <row r="96" ht="12.75" customHeight="1">
      <c r="A96" s="81">
        <v>45806.0</v>
      </c>
      <c r="B96" s="82" t="s">
        <v>304</v>
      </c>
      <c r="C96" s="83" t="s">
        <v>87</v>
      </c>
      <c r="D96" s="82" t="s">
        <v>155</v>
      </c>
      <c r="E96" s="82">
        <v>3300.0</v>
      </c>
      <c r="G96" s="82">
        <v>780.19</v>
      </c>
      <c r="H96" s="82">
        <f t="shared" si="2"/>
        <v>780.19</v>
      </c>
      <c r="I96" s="82">
        <f t="shared" si="1"/>
        <v>0</v>
      </c>
    </row>
    <row r="97" ht="12.75" customHeight="1">
      <c r="A97" s="81">
        <v>45806.0</v>
      </c>
      <c r="B97" s="82" t="s">
        <v>305</v>
      </c>
      <c r="C97" s="83" t="s">
        <v>108</v>
      </c>
      <c r="D97" s="82" t="s">
        <v>306</v>
      </c>
      <c r="E97" s="82">
        <v>100.0</v>
      </c>
      <c r="G97" s="82">
        <v>680.19</v>
      </c>
      <c r="H97" s="82">
        <f t="shared" si="2"/>
        <v>680.19</v>
      </c>
      <c r="I97" s="82">
        <f t="shared" si="1"/>
        <v>0</v>
      </c>
    </row>
    <row r="98" ht="12.75" customHeight="1">
      <c r="A98" s="81">
        <v>45807.0</v>
      </c>
      <c r="B98" s="82" t="s">
        <v>307</v>
      </c>
      <c r="C98" s="83" t="s">
        <v>100</v>
      </c>
      <c r="D98" s="82" t="s">
        <v>149</v>
      </c>
      <c r="E98" s="82">
        <v>196.9</v>
      </c>
      <c r="G98" s="82">
        <v>483.29</v>
      </c>
      <c r="H98" s="82">
        <f t="shared" si="2"/>
        <v>483.29</v>
      </c>
      <c r="I98" s="82">
        <f t="shared" si="1"/>
        <v>0</v>
      </c>
    </row>
    <row r="99" ht="12.75" customHeight="1">
      <c r="A99" s="81">
        <v>45807.0</v>
      </c>
      <c r="B99" s="82" t="s">
        <v>308</v>
      </c>
      <c r="C99" s="83" t="s">
        <v>100</v>
      </c>
      <c r="D99" s="82" t="s">
        <v>149</v>
      </c>
      <c r="E99" s="82">
        <v>300.9</v>
      </c>
      <c r="G99" s="82">
        <v>182.39</v>
      </c>
      <c r="H99" s="82">
        <f t="shared" si="2"/>
        <v>182.39</v>
      </c>
      <c r="I99" s="82">
        <f t="shared" si="1"/>
        <v>0</v>
      </c>
    </row>
    <row r="100" ht="12.75" customHeight="1">
      <c r="A100" s="81">
        <v>45809.0</v>
      </c>
      <c r="B100" s="82" t="s">
        <v>309</v>
      </c>
      <c r="C100" s="83" t="s">
        <v>87</v>
      </c>
      <c r="D100" s="82" t="s">
        <v>195</v>
      </c>
      <c r="E100" s="82">
        <v>139.0</v>
      </c>
      <c r="G100" s="82">
        <v>43.39</v>
      </c>
      <c r="H100" s="82">
        <f t="shared" si="2"/>
        <v>43.39</v>
      </c>
      <c r="I100" s="82">
        <f t="shared" si="1"/>
        <v>0</v>
      </c>
    </row>
    <row r="101" ht="12.75" customHeight="1">
      <c r="A101" s="81">
        <v>45810.0</v>
      </c>
      <c r="B101" s="82" t="s">
        <v>310</v>
      </c>
      <c r="C101" s="82" t="s">
        <v>173</v>
      </c>
      <c r="D101" s="82" t="s">
        <v>109</v>
      </c>
      <c r="E101" s="82"/>
      <c r="F101" s="82">
        <v>21920.58</v>
      </c>
      <c r="G101" s="82">
        <v>21963.97</v>
      </c>
      <c r="H101" s="82">
        <f t="shared" si="2"/>
        <v>21963.97</v>
      </c>
      <c r="I101" s="82">
        <f t="shared" si="1"/>
        <v>0</v>
      </c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2.75" customHeight="1">
      <c r="A102" s="81">
        <v>45810.0</v>
      </c>
      <c r="B102" s="82" t="s">
        <v>311</v>
      </c>
      <c r="C102" s="82" t="s">
        <v>173</v>
      </c>
      <c r="D102" s="82" t="s">
        <v>110</v>
      </c>
      <c r="E102" s="82"/>
      <c r="F102" s="82">
        <v>60470.32</v>
      </c>
      <c r="G102" s="82">
        <v>82434.29</v>
      </c>
      <c r="H102" s="82">
        <f t="shared" si="2"/>
        <v>82434.29</v>
      </c>
      <c r="I102" s="82">
        <f t="shared" si="1"/>
        <v>0</v>
      </c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2.75" customHeight="1">
      <c r="A103" s="81">
        <v>45811.0</v>
      </c>
      <c r="B103" s="82" t="s">
        <v>312</v>
      </c>
      <c r="C103" s="83" t="s">
        <v>87</v>
      </c>
      <c r="D103" s="82" t="s">
        <v>171</v>
      </c>
      <c r="E103" s="82">
        <v>800.0</v>
      </c>
      <c r="G103" s="82">
        <v>81634.29</v>
      </c>
      <c r="H103" s="82">
        <f t="shared" si="2"/>
        <v>81634.29</v>
      </c>
      <c r="I103" s="82">
        <f t="shared" si="1"/>
        <v>0</v>
      </c>
    </row>
    <row r="104" ht="12.75" customHeight="1">
      <c r="A104" s="81">
        <v>45811.0</v>
      </c>
      <c r="B104" s="82" t="s">
        <v>313</v>
      </c>
      <c r="C104" s="83" t="s">
        <v>146</v>
      </c>
      <c r="D104" s="82" t="s">
        <v>147</v>
      </c>
      <c r="E104" s="82"/>
      <c r="F104" s="82">
        <v>127191.08</v>
      </c>
      <c r="G104" s="82">
        <v>208825.37</v>
      </c>
      <c r="H104" s="82">
        <f t="shared" si="2"/>
        <v>208825.37</v>
      </c>
      <c r="I104" s="82">
        <f t="shared" si="1"/>
        <v>0</v>
      </c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2.75" customHeight="1">
      <c r="A105" s="81">
        <v>45811.0</v>
      </c>
      <c r="B105" s="82" t="s">
        <v>314</v>
      </c>
      <c r="C105" s="83" t="s">
        <v>97</v>
      </c>
      <c r="D105" s="82" t="s">
        <v>257</v>
      </c>
      <c r="E105" s="82">
        <v>649.0</v>
      </c>
      <c r="G105" s="82">
        <v>208176.37</v>
      </c>
      <c r="H105" s="82">
        <f t="shared" si="2"/>
        <v>208176.37</v>
      </c>
      <c r="I105" s="82">
        <f t="shared" si="1"/>
        <v>0</v>
      </c>
    </row>
    <row r="106" ht="12.75" customHeight="1">
      <c r="A106" s="81">
        <v>45812.0</v>
      </c>
      <c r="B106" s="82" t="s">
        <v>315</v>
      </c>
      <c r="C106" s="83" t="s">
        <v>83</v>
      </c>
      <c r="D106" s="82" t="s">
        <v>160</v>
      </c>
      <c r="E106" s="82">
        <v>90842.0</v>
      </c>
      <c r="G106" s="82">
        <v>117334.37</v>
      </c>
      <c r="H106" s="82">
        <f t="shared" si="2"/>
        <v>117334.37</v>
      </c>
      <c r="I106" s="82">
        <f t="shared" si="1"/>
        <v>0</v>
      </c>
    </row>
    <row r="107" ht="12.75" customHeight="1">
      <c r="A107" s="81">
        <v>45812.0</v>
      </c>
      <c r="B107" s="82" t="s">
        <v>316</v>
      </c>
      <c r="C107" s="83" t="s">
        <v>104</v>
      </c>
      <c r="D107" s="82" t="s">
        <v>104</v>
      </c>
      <c r="E107" s="82">
        <v>15.1</v>
      </c>
      <c r="G107" s="82">
        <v>117319.27</v>
      </c>
      <c r="H107" s="82">
        <f t="shared" si="2"/>
        <v>117319.27</v>
      </c>
      <c r="I107" s="82">
        <f t="shared" si="1"/>
        <v>0</v>
      </c>
    </row>
    <row r="108" ht="12.75" customHeight="1">
      <c r="A108" s="81">
        <v>45812.0</v>
      </c>
      <c r="B108" s="82" t="s">
        <v>317</v>
      </c>
      <c r="C108" s="83" t="s">
        <v>88</v>
      </c>
      <c r="D108" s="82" t="s">
        <v>153</v>
      </c>
      <c r="E108" s="82">
        <v>588.82</v>
      </c>
      <c r="G108" s="82">
        <v>116730.45</v>
      </c>
      <c r="H108" s="82">
        <f t="shared" si="2"/>
        <v>116730.45</v>
      </c>
      <c r="I108" s="82">
        <f t="shared" si="1"/>
        <v>0</v>
      </c>
    </row>
    <row r="109" ht="12.75" customHeight="1">
      <c r="A109" s="81">
        <v>45812.0</v>
      </c>
      <c r="B109" s="82" t="s">
        <v>318</v>
      </c>
      <c r="C109" s="83" t="s">
        <v>87</v>
      </c>
      <c r="D109" s="82" t="s">
        <v>155</v>
      </c>
      <c r="E109" s="82">
        <v>1800.0</v>
      </c>
      <c r="G109" s="82">
        <v>114930.45</v>
      </c>
      <c r="H109" s="82">
        <f t="shared" si="2"/>
        <v>114930.45</v>
      </c>
      <c r="I109" s="82">
        <f t="shared" si="1"/>
        <v>0</v>
      </c>
    </row>
    <row r="110" ht="12.75" customHeight="1">
      <c r="A110" s="81">
        <v>45813.0</v>
      </c>
      <c r="B110" s="82" t="s">
        <v>319</v>
      </c>
      <c r="C110" s="83" t="s">
        <v>91</v>
      </c>
      <c r="D110" s="82" t="s">
        <v>162</v>
      </c>
      <c r="E110" s="82">
        <v>18875.0</v>
      </c>
      <c r="G110" s="82">
        <v>96055.45</v>
      </c>
      <c r="H110" s="82">
        <f t="shared" si="2"/>
        <v>96055.45</v>
      </c>
      <c r="I110" s="82">
        <f t="shared" si="1"/>
        <v>0</v>
      </c>
    </row>
    <row r="111" ht="12.75" customHeight="1">
      <c r="A111" s="81">
        <v>45813.0</v>
      </c>
      <c r="B111" s="82" t="s">
        <v>320</v>
      </c>
      <c r="C111" s="83" t="s">
        <v>83</v>
      </c>
      <c r="D111" s="82" t="s">
        <v>218</v>
      </c>
      <c r="E111" s="82">
        <v>77992.0</v>
      </c>
      <c r="G111" s="82">
        <v>18063.45</v>
      </c>
      <c r="H111" s="82">
        <f t="shared" si="2"/>
        <v>18063.45</v>
      </c>
      <c r="I111" s="82">
        <f t="shared" si="1"/>
        <v>0</v>
      </c>
    </row>
    <row r="112" ht="12.75" customHeight="1">
      <c r="A112" s="81">
        <v>45814.0</v>
      </c>
      <c r="B112" s="82" t="s">
        <v>321</v>
      </c>
      <c r="C112" s="83" t="s">
        <v>120</v>
      </c>
      <c r="D112" s="82" t="s">
        <v>197</v>
      </c>
      <c r="E112" s="82"/>
      <c r="F112" s="82">
        <v>60000.0</v>
      </c>
      <c r="G112" s="82">
        <v>78063.45</v>
      </c>
      <c r="H112" s="82">
        <f t="shared" si="2"/>
        <v>78063.45</v>
      </c>
      <c r="I112" s="82">
        <f t="shared" si="1"/>
        <v>0</v>
      </c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12.75" customHeight="1">
      <c r="A113" s="81">
        <v>45815.0</v>
      </c>
      <c r="B113" s="82" t="s">
        <v>322</v>
      </c>
      <c r="C113" s="82" t="s">
        <v>173</v>
      </c>
      <c r="D113" s="82"/>
      <c r="E113" s="82"/>
      <c r="F113" s="82">
        <v>175000.0</v>
      </c>
      <c r="G113" s="82">
        <v>253063.45</v>
      </c>
      <c r="H113" s="82">
        <f t="shared" si="2"/>
        <v>253063.45</v>
      </c>
      <c r="I113" s="82">
        <f t="shared" si="1"/>
        <v>0</v>
      </c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12.75" customHeight="1">
      <c r="A114" s="81">
        <v>45817.0</v>
      </c>
      <c r="B114" s="82" t="s">
        <v>323</v>
      </c>
      <c r="C114" s="83" t="s">
        <v>97</v>
      </c>
      <c r="D114" s="83" t="s">
        <v>166</v>
      </c>
      <c r="E114" s="82">
        <v>1628.4</v>
      </c>
      <c r="G114" s="82">
        <v>251435.05</v>
      </c>
      <c r="H114" s="82">
        <f t="shared" si="2"/>
        <v>251435.05</v>
      </c>
      <c r="I114" s="82">
        <f t="shared" si="1"/>
        <v>0</v>
      </c>
    </row>
    <row r="115" ht="12.75" customHeight="1">
      <c r="A115" s="81">
        <v>45818.0</v>
      </c>
      <c r="B115" s="82" t="s">
        <v>324</v>
      </c>
      <c r="C115" s="83" t="s">
        <v>96</v>
      </c>
      <c r="D115" s="82" t="s">
        <v>175</v>
      </c>
      <c r="E115" s="82">
        <v>153526.0</v>
      </c>
      <c r="G115" s="82">
        <v>97909.05</v>
      </c>
      <c r="H115" s="82">
        <f t="shared" si="2"/>
        <v>97909.05</v>
      </c>
      <c r="I115" s="82">
        <f t="shared" si="1"/>
        <v>0</v>
      </c>
    </row>
    <row r="116" ht="12.75" customHeight="1">
      <c r="A116" s="81">
        <v>45818.0</v>
      </c>
      <c r="B116" s="82" t="s">
        <v>325</v>
      </c>
      <c r="C116" s="83" t="s">
        <v>98</v>
      </c>
      <c r="D116" s="82" t="s">
        <v>190</v>
      </c>
      <c r="E116" s="82">
        <v>7000.0</v>
      </c>
      <c r="G116" s="82">
        <v>90909.05</v>
      </c>
      <c r="H116" s="82">
        <f t="shared" si="2"/>
        <v>90909.05</v>
      </c>
      <c r="I116" s="82">
        <f t="shared" si="1"/>
        <v>0</v>
      </c>
    </row>
    <row r="117" ht="12.75" customHeight="1">
      <c r="A117" s="81">
        <v>45818.0</v>
      </c>
      <c r="B117" s="82" t="s">
        <v>326</v>
      </c>
      <c r="C117" s="83" t="s">
        <v>98</v>
      </c>
      <c r="D117" s="82" t="s">
        <v>179</v>
      </c>
      <c r="E117" s="82">
        <v>6860.0</v>
      </c>
      <c r="G117" s="82">
        <v>84049.05</v>
      </c>
      <c r="H117" s="82">
        <f t="shared" si="2"/>
        <v>84049.05</v>
      </c>
      <c r="I117" s="82">
        <f t="shared" si="1"/>
        <v>0</v>
      </c>
    </row>
    <row r="118" ht="12.75" customHeight="1">
      <c r="A118" s="81">
        <v>45818.0</v>
      </c>
      <c r="B118" s="82" t="s">
        <v>327</v>
      </c>
      <c r="C118" s="82" t="s">
        <v>98</v>
      </c>
      <c r="D118" s="82" t="s">
        <v>181</v>
      </c>
      <c r="E118" s="82">
        <v>4200.0</v>
      </c>
      <c r="G118" s="82">
        <v>79849.05</v>
      </c>
      <c r="H118" s="82">
        <f t="shared" si="2"/>
        <v>79849.05</v>
      </c>
      <c r="I118" s="82">
        <f t="shared" si="1"/>
        <v>0</v>
      </c>
    </row>
    <row r="119" ht="12.75" customHeight="1">
      <c r="A119" s="81">
        <v>45818.0</v>
      </c>
      <c r="B119" s="82" t="s">
        <v>328</v>
      </c>
      <c r="C119" s="82" t="s">
        <v>98</v>
      </c>
      <c r="D119" s="82" t="s">
        <v>183</v>
      </c>
      <c r="E119" s="82">
        <v>6440.0</v>
      </c>
      <c r="G119" s="82">
        <v>73409.05</v>
      </c>
      <c r="H119" s="82">
        <f t="shared" si="2"/>
        <v>73409.05</v>
      </c>
      <c r="I119" s="82">
        <f t="shared" si="1"/>
        <v>0</v>
      </c>
    </row>
    <row r="120" ht="12.75" customHeight="1">
      <c r="A120" s="81">
        <v>45818.0</v>
      </c>
      <c r="B120" s="82" t="s">
        <v>329</v>
      </c>
      <c r="C120" s="82" t="s">
        <v>98</v>
      </c>
      <c r="D120" s="82" t="s">
        <v>177</v>
      </c>
      <c r="E120" s="82">
        <v>3000.0</v>
      </c>
      <c r="G120" s="82">
        <v>70409.05</v>
      </c>
      <c r="H120" s="82">
        <f t="shared" si="2"/>
        <v>70409.05</v>
      </c>
      <c r="I120" s="82">
        <f t="shared" si="1"/>
        <v>0</v>
      </c>
    </row>
    <row r="121" ht="12.75" customHeight="1">
      <c r="A121" s="81">
        <v>45818.0</v>
      </c>
      <c r="B121" s="82" t="s">
        <v>330</v>
      </c>
      <c r="C121" s="82" t="s">
        <v>98</v>
      </c>
      <c r="D121" s="82" t="s">
        <v>331</v>
      </c>
      <c r="E121" s="82">
        <v>5880.0</v>
      </c>
      <c r="G121" s="82">
        <v>64529.05</v>
      </c>
      <c r="H121" s="82">
        <f t="shared" si="2"/>
        <v>64529.05</v>
      </c>
      <c r="I121" s="82">
        <f t="shared" si="1"/>
        <v>0</v>
      </c>
    </row>
    <row r="122" ht="12.75" customHeight="1">
      <c r="A122" s="81">
        <v>45818.0</v>
      </c>
      <c r="B122" s="82" t="s">
        <v>332</v>
      </c>
      <c r="C122" s="82" t="s">
        <v>98</v>
      </c>
      <c r="D122" s="82" t="s">
        <v>333</v>
      </c>
      <c r="E122" s="82">
        <v>8400.0</v>
      </c>
      <c r="G122" s="82">
        <v>56129.05</v>
      </c>
      <c r="H122" s="82">
        <f t="shared" si="2"/>
        <v>56129.05</v>
      </c>
      <c r="I122" s="82">
        <f t="shared" si="1"/>
        <v>0</v>
      </c>
    </row>
    <row r="123" ht="12.75" customHeight="1">
      <c r="A123" s="81">
        <v>45818.0</v>
      </c>
      <c r="B123" s="82" t="s">
        <v>334</v>
      </c>
      <c r="C123" s="82" t="s">
        <v>98</v>
      </c>
      <c r="D123" s="82" t="s">
        <v>335</v>
      </c>
      <c r="E123" s="82">
        <v>5040.0</v>
      </c>
      <c r="G123" s="82">
        <v>51089.05</v>
      </c>
      <c r="H123" s="82">
        <f t="shared" si="2"/>
        <v>51089.05</v>
      </c>
      <c r="I123" s="82">
        <f t="shared" si="1"/>
        <v>0</v>
      </c>
    </row>
    <row r="124" ht="12.75" customHeight="1">
      <c r="A124" s="81">
        <v>45818.0</v>
      </c>
      <c r="B124" s="82" t="s">
        <v>336</v>
      </c>
      <c r="C124" s="82" t="s">
        <v>98</v>
      </c>
      <c r="D124" s="82" t="s">
        <v>226</v>
      </c>
      <c r="E124" s="82">
        <v>2200.0</v>
      </c>
      <c r="G124" s="82">
        <v>48889.05</v>
      </c>
      <c r="H124" s="82">
        <f t="shared" si="2"/>
        <v>48889.05</v>
      </c>
      <c r="I124" s="82">
        <f t="shared" si="1"/>
        <v>0</v>
      </c>
    </row>
    <row r="125" ht="12.75" customHeight="1">
      <c r="A125" s="81">
        <v>45818.0</v>
      </c>
      <c r="B125" s="82" t="s">
        <v>337</v>
      </c>
      <c r="C125" s="82" t="s">
        <v>98</v>
      </c>
      <c r="D125" s="82" t="s">
        <v>338</v>
      </c>
      <c r="E125" s="82">
        <v>7000.0</v>
      </c>
      <c r="G125" s="82">
        <v>41889.05</v>
      </c>
      <c r="H125" s="82">
        <f t="shared" si="2"/>
        <v>41889.05</v>
      </c>
      <c r="I125" s="82">
        <f t="shared" si="1"/>
        <v>0</v>
      </c>
    </row>
    <row r="126" ht="12.75" customHeight="1">
      <c r="A126" s="81">
        <v>45818.0</v>
      </c>
      <c r="B126" s="82" t="s">
        <v>339</v>
      </c>
      <c r="C126" s="82" t="s">
        <v>98</v>
      </c>
      <c r="D126" s="82" t="s">
        <v>192</v>
      </c>
      <c r="E126" s="82">
        <v>6137.0</v>
      </c>
      <c r="G126" s="82">
        <v>35752.05</v>
      </c>
      <c r="H126" s="82">
        <f t="shared" si="2"/>
        <v>35752.05</v>
      </c>
      <c r="I126" s="82">
        <f t="shared" si="1"/>
        <v>0</v>
      </c>
    </row>
    <row r="127" ht="12.75" customHeight="1">
      <c r="A127" s="81">
        <v>45819.0</v>
      </c>
      <c r="B127" s="82" t="s">
        <v>340</v>
      </c>
      <c r="C127" s="82" t="s">
        <v>111</v>
      </c>
      <c r="D127" s="82" t="s">
        <v>341</v>
      </c>
      <c r="E127" s="82">
        <v>23.6</v>
      </c>
      <c r="G127" s="82">
        <v>35728.45</v>
      </c>
      <c r="H127" s="82">
        <f t="shared" si="2"/>
        <v>35728.45</v>
      </c>
      <c r="I127" s="82">
        <f t="shared" si="1"/>
        <v>0</v>
      </c>
    </row>
    <row r="128" ht="12.75" customHeight="1">
      <c r="A128" s="81">
        <v>45820.0</v>
      </c>
      <c r="B128" s="82" t="s">
        <v>342</v>
      </c>
      <c r="C128" s="82" t="s">
        <v>98</v>
      </c>
      <c r="D128" s="82" t="s">
        <v>343</v>
      </c>
      <c r="E128" s="82">
        <v>6000.0</v>
      </c>
      <c r="G128" s="82">
        <v>29728.45</v>
      </c>
      <c r="H128" s="82">
        <f t="shared" si="2"/>
        <v>29728.45</v>
      </c>
      <c r="I128" s="82">
        <f t="shared" si="1"/>
        <v>0</v>
      </c>
    </row>
    <row r="129" ht="12.75" customHeight="1">
      <c r="A129" s="81">
        <v>45820.0</v>
      </c>
      <c r="B129" s="82" t="s">
        <v>344</v>
      </c>
      <c r="C129" s="82" t="s">
        <v>98</v>
      </c>
      <c r="D129" s="82" t="s">
        <v>199</v>
      </c>
      <c r="E129" s="82">
        <v>5460.0</v>
      </c>
      <c r="G129" s="82">
        <v>24268.45</v>
      </c>
      <c r="H129" s="82">
        <f t="shared" si="2"/>
        <v>24268.45</v>
      </c>
      <c r="I129" s="82">
        <f t="shared" si="1"/>
        <v>0</v>
      </c>
    </row>
    <row r="130" ht="12.75" customHeight="1">
      <c r="A130" s="81">
        <v>45820.0</v>
      </c>
      <c r="B130" s="82" t="s">
        <v>345</v>
      </c>
      <c r="C130" s="82" t="s">
        <v>98</v>
      </c>
      <c r="D130" s="82" t="s">
        <v>188</v>
      </c>
      <c r="E130" s="82">
        <v>5880.0</v>
      </c>
      <c r="G130" s="82">
        <v>18388.45</v>
      </c>
      <c r="H130" s="82">
        <f t="shared" si="2"/>
        <v>18388.45</v>
      </c>
      <c r="I130" s="82">
        <f t="shared" si="1"/>
        <v>0</v>
      </c>
    </row>
    <row r="131" ht="12.75" customHeight="1">
      <c r="A131" s="81">
        <v>45820.0</v>
      </c>
      <c r="B131" s="82" t="s">
        <v>346</v>
      </c>
      <c r="C131" s="82" t="s">
        <v>98</v>
      </c>
      <c r="D131" s="82" t="s">
        <v>347</v>
      </c>
      <c r="E131" s="82">
        <v>4220.0</v>
      </c>
      <c r="G131" s="82">
        <v>14168.45</v>
      </c>
      <c r="H131" s="82">
        <f t="shared" si="2"/>
        <v>14168.45</v>
      </c>
      <c r="I131" s="82">
        <f t="shared" si="1"/>
        <v>0</v>
      </c>
    </row>
    <row r="132" ht="12.75" customHeight="1">
      <c r="A132" s="81">
        <v>45820.0</v>
      </c>
      <c r="B132" s="82" t="s">
        <v>348</v>
      </c>
      <c r="C132" s="82" t="s">
        <v>87</v>
      </c>
      <c r="D132" s="82" t="s">
        <v>155</v>
      </c>
      <c r="E132" s="82">
        <v>1550.0</v>
      </c>
      <c r="G132" s="82">
        <v>12618.45</v>
      </c>
      <c r="H132" s="82">
        <f t="shared" si="2"/>
        <v>12618.45</v>
      </c>
      <c r="I132" s="82">
        <f t="shared" si="1"/>
        <v>0</v>
      </c>
    </row>
    <row r="133" ht="12.75" customHeight="1">
      <c r="A133" s="81">
        <v>45820.0</v>
      </c>
      <c r="B133" s="82" t="s">
        <v>349</v>
      </c>
      <c r="C133" s="82" t="s">
        <v>120</v>
      </c>
      <c r="D133" s="82" t="s">
        <v>197</v>
      </c>
      <c r="E133" s="82">
        <v>12000.0</v>
      </c>
      <c r="G133" s="82">
        <v>618.45</v>
      </c>
      <c r="H133" s="82">
        <f t="shared" si="2"/>
        <v>618.45</v>
      </c>
      <c r="I133" s="82">
        <f t="shared" si="1"/>
        <v>0</v>
      </c>
    </row>
    <row r="134" ht="12.75" customHeight="1">
      <c r="A134" s="81">
        <v>45823.0</v>
      </c>
      <c r="B134" s="82" t="s">
        <v>350</v>
      </c>
      <c r="C134" s="82" t="s">
        <v>87</v>
      </c>
      <c r="D134" s="82" t="s">
        <v>195</v>
      </c>
      <c r="E134" s="82">
        <v>442.0</v>
      </c>
      <c r="G134" s="82">
        <v>176.45</v>
      </c>
      <c r="H134" s="82">
        <f t="shared" si="2"/>
        <v>176.45</v>
      </c>
      <c r="I134" s="82">
        <f t="shared" si="1"/>
        <v>0</v>
      </c>
    </row>
    <row r="135" ht="12.75" customHeight="1">
      <c r="A135" s="81">
        <v>45824.0</v>
      </c>
      <c r="B135" s="82" t="s">
        <v>351</v>
      </c>
      <c r="C135" s="82" t="s">
        <v>173</v>
      </c>
      <c r="D135" s="82" t="s">
        <v>110</v>
      </c>
      <c r="E135" s="82"/>
      <c r="F135" s="82">
        <v>112495.75</v>
      </c>
      <c r="G135" s="82">
        <v>112672.2</v>
      </c>
      <c r="H135" s="82">
        <f t="shared" si="2"/>
        <v>112672.2</v>
      </c>
      <c r="I135" s="82">
        <f t="shared" si="1"/>
        <v>0</v>
      </c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12.75" customHeight="1">
      <c r="A136" s="81">
        <v>45824.0</v>
      </c>
      <c r="B136" s="82" t="s">
        <v>352</v>
      </c>
      <c r="C136" s="83" t="s">
        <v>92</v>
      </c>
      <c r="D136" s="83" t="s">
        <v>353</v>
      </c>
      <c r="E136" s="82">
        <v>10000.0</v>
      </c>
      <c r="G136" s="82">
        <v>102672.2</v>
      </c>
      <c r="H136" s="82">
        <f t="shared" si="2"/>
        <v>102672.2</v>
      </c>
      <c r="I136" s="82">
        <f t="shared" si="1"/>
        <v>0</v>
      </c>
    </row>
    <row r="137" ht="12.75" customHeight="1">
      <c r="A137" s="81">
        <v>45825.0</v>
      </c>
      <c r="B137" s="82" t="s">
        <v>354</v>
      </c>
      <c r="C137" s="82" t="s">
        <v>146</v>
      </c>
      <c r="D137" s="82" t="s">
        <v>147</v>
      </c>
      <c r="E137" s="82"/>
      <c r="F137" s="82">
        <v>127870.31</v>
      </c>
      <c r="G137" s="82">
        <v>230542.51</v>
      </c>
      <c r="H137" s="82">
        <f t="shared" si="2"/>
        <v>230542.51</v>
      </c>
      <c r="I137" s="82">
        <f t="shared" si="1"/>
        <v>0</v>
      </c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12.75" customHeight="1">
      <c r="A138" s="81">
        <v>45825.0</v>
      </c>
      <c r="B138" s="82" t="s">
        <v>355</v>
      </c>
      <c r="C138" s="82" t="s">
        <v>86</v>
      </c>
      <c r="D138" s="82" t="s">
        <v>356</v>
      </c>
      <c r="E138" s="82">
        <v>3600.0</v>
      </c>
      <c r="G138" s="82">
        <v>226942.51</v>
      </c>
      <c r="H138" s="82">
        <f t="shared" si="2"/>
        <v>226942.51</v>
      </c>
      <c r="I138" s="82">
        <f t="shared" si="1"/>
        <v>0</v>
      </c>
    </row>
    <row r="139" ht="12.75" customHeight="1">
      <c r="A139" s="81">
        <v>45825.0</v>
      </c>
      <c r="B139" s="82" t="s">
        <v>357</v>
      </c>
      <c r="C139" s="82" t="s">
        <v>86</v>
      </c>
      <c r="D139" s="82" t="s">
        <v>358</v>
      </c>
      <c r="E139" s="82">
        <v>3600.0</v>
      </c>
      <c r="G139" s="82">
        <v>223342.51</v>
      </c>
      <c r="H139" s="82">
        <f t="shared" si="2"/>
        <v>223342.51</v>
      </c>
      <c r="I139" s="82">
        <f t="shared" si="1"/>
        <v>0</v>
      </c>
    </row>
    <row r="140" ht="12.75" customHeight="1">
      <c r="A140" s="81">
        <v>45825.0</v>
      </c>
      <c r="B140" s="82" t="s">
        <v>359</v>
      </c>
      <c r="C140" s="82" t="s">
        <v>86</v>
      </c>
      <c r="D140" s="82" t="s">
        <v>360</v>
      </c>
      <c r="E140" s="82">
        <v>3600.0</v>
      </c>
      <c r="G140" s="82">
        <v>219742.51</v>
      </c>
      <c r="H140" s="82">
        <f t="shared" si="2"/>
        <v>219742.51</v>
      </c>
      <c r="I140" s="82">
        <f t="shared" si="1"/>
        <v>0</v>
      </c>
    </row>
    <row r="141" ht="12.75" customHeight="1">
      <c r="A141" s="81">
        <v>45825.0</v>
      </c>
      <c r="B141" s="82" t="s">
        <v>361</v>
      </c>
      <c r="C141" s="82" t="s">
        <v>123</v>
      </c>
      <c r="D141" s="82" t="s">
        <v>362</v>
      </c>
      <c r="E141" s="82">
        <v>5000.0</v>
      </c>
      <c r="G141" s="82">
        <v>214742.51</v>
      </c>
      <c r="H141" s="82">
        <f t="shared" si="2"/>
        <v>214742.51</v>
      </c>
      <c r="I141" s="82">
        <f t="shared" si="1"/>
        <v>0</v>
      </c>
    </row>
    <row r="142" ht="12.75" customHeight="1">
      <c r="A142" s="81">
        <v>45826.0</v>
      </c>
      <c r="B142" s="82" t="s">
        <v>363</v>
      </c>
      <c r="C142" s="82" t="s">
        <v>108</v>
      </c>
      <c r="D142" s="82" t="s">
        <v>364</v>
      </c>
      <c r="E142" s="82">
        <v>1000.0</v>
      </c>
      <c r="G142" s="82">
        <v>213742.51</v>
      </c>
      <c r="H142" s="82">
        <f t="shared" si="2"/>
        <v>213742.51</v>
      </c>
      <c r="I142" s="82">
        <f t="shared" si="1"/>
        <v>0</v>
      </c>
    </row>
    <row r="143" ht="12.75" customHeight="1">
      <c r="A143" s="81">
        <v>45826.0</v>
      </c>
      <c r="B143" s="82" t="s">
        <v>365</v>
      </c>
      <c r="C143" s="82" t="s">
        <v>86</v>
      </c>
      <c r="D143" s="82" t="s">
        <v>366</v>
      </c>
      <c r="E143" s="82">
        <v>30300.0</v>
      </c>
      <c r="G143" s="82">
        <v>183442.51</v>
      </c>
      <c r="H143" s="82">
        <f t="shared" si="2"/>
        <v>183442.51</v>
      </c>
      <c r="I143" s="82">
        <f t="shared" si="1"/>
        <v>0</v>
      </c>
    </row>
    <row r="144" ht="12.75" customHeight="1">
      <c r="A144" s="81">
        <v>45826.0</v>
      </c>
      <c r="B144" s="82" t="s">
        <v>367</v>
      </c>
      <c r="C144" s="82" t="s">
        <v>87</v>
      </c>
      <c r="D144" s="82" t="s">
        <v>155</v>
      </c>
      <c r="E144" s="82">
        <v>500.0</v>
      </c>
      <c r="G144" s="82">
        <v>182942.51</v>
      </c>
      <c r="H144" s="82">
        <f t="shared" si="2"/>
        <v>182942.51</v>
      </c>
      <c r="I144" s="82">
        <f t="shared" si="1"/>
        <v>0</v>
      </c>
    </row>
    <row r="145" ht="12.75" customHeight="1">
      <c r="A145" s="81">
        <v>45827.0</v>
      </c>
      <c r="B145" s="82" t="s">
        <v>368</v>
      </c>
      <c r="C145" s="82" t="s">
        <v>87</v>
      </c>
      <c r="D145" s="82" t="s">
        <v>155</v>
      </c>
      <c r="E145" s="82">
        <v>1515.0</v>
      </c>
      <c r="G145" s="82">
        <v>181427.51</v>
      </c>
      <c r="H145" s="82">
        <f t="shared" si="2"/>
        <v>181427.51</v>
      </c>
      <c r="I145" s="82">
        <f t="shared" si="1"/>
        <v>0</v>
      </c>
    </row>
    <row r="146" ht="12.75" customHeight="1">
      <c r="A146" s="81">
        <v>45827.0</v>
      </c>
      <c r="B146" s="82" t="s">
        <v>369</v>
      </c>
      <c r="C146" s="82" t="s">
        <v>120</v>
      </c>
      <c r="D146" s="82" t="s">
        <v>197</v>
      </c>
      <c r="E146" s="82">
        <v>130000.0</v>
      </c>
      <c r="G146" s="82">
        <v>51427.51</v>
      </c>
      <c r="H146" s="82">
        <f t="shared" si="2"/>
        <v>51427.51</v>
      </c>
      <c r="I146" s="82">
        <f t="shared" si="1"/>
        <v>0</v>
      </c>
    </row>
    <row r="147" ht="12.75" customHeight="1">
      <c r="A147" s="81">
        <v>45828.0</v>
      </c>
      <c r="B147" s="82" t="s">
        <v>370</v>
      </c>
      <c r="C147" s="82" t="s">
        <v>90</v>
      </c>
      <c r="D147" s="82" t="s">
        <v>371</v>
      </c>
      <c r="E147" s="82">
        <v>2274.0</v>
      </c>
      <c r="G147" s="82">
        <v>49153.51</v>
      </c>
      <c r="H147" s="82">
        <f t="shared" si="2"/>
        <v>49153.51</v>
      </c>
      <c r="I147" s="82">
        <f t="shared" si="1"/>
        <v>0</v>
      </c>
    </row>
    <row r="148" ht="12.75" customHeight="1">
      <c r="A148" s="81">
        <v>45828.0</v>
      </c>
      <c r="B148" s="82" t="s">
        <v>372</v>
      </c>
      <c r="C148" s="83" t="s">
        <v>106</v>
      </c>
      <c r="D148" s="83" t="s">
        <v>274</v>
      </c>
      <c r="E148" s="82">
        <v>7100.0</v>
      </c>
      <c r="G148" s="82">
        <v>42053.51</v>
      </c>
      <c r="H148" s="82">
        <f t="shared" si="2"/>
        <v>42053.51</v>
      </c>
      <c r="I148" s="82">
        <f t="shared" si="1"/>
        <v>0</v>
      </c>
    </row>
    <row r="149" ht="12.75" customHeight="1">
      <c r="A149" s="81">
        <v>45828.0</v>
      </c>
      <c r="B149" s="82" t="s">
        <v>373</v>
      </c>
      <c r="C149" s="82" t="s">
        <v>92</v>
      </c>
      <c r="D149" s="82" t="s">
        <v>236</v>
      </c>
      <c r="E149" s="82">
        <v>3308.0</v>
      </c>
      <c r="G149" s="82">
        <v>38745.51</v>
      </c>
      <c r="H149" s="82">
        <f t="shared" si="2"/>
        <v>38745.51</v>
      </c>
      <c r="I149" s="82">
        <f t="shared" si="1"/>
        <v>0</v>
      </c>
    </row>
    <row r="150" ht="12.75" customHeight="1">
      <c r="A150" s="81">
        <v>45828.0</v>
      </c>
      <c r="B150" s="82" t="s">
        <v>374</v>
      </c>
      <c r="C150" s="82" t="s">
        <v>114</v>
      </c>
      <c r="D150" s="82" t="s">
        <v>375</v>
      </c>
      <c r="E150" s="82">
        <v>2000.0</v>
      </c>
      <c r="G150" s="82">
        <v>36745.51</v>
      </c>
      <c r="H150" s="82">
        <f t="shared" si="2"/>
        <v>36745.51</v>
      </c>
      <c r="I150" s="82">
        <f t="shared" si="1"/>
        <v>0</v>
      </c>
    </row>
    <row r="151" ht="12.75" customHeight="1">
      <c r="A151" s="81">
        <v>45828.0</v>
      </c>
      <c r="B151" s="82" t="s">
        <v>376</v>
      </c>
      <c r="C151" s="82" t="s">
        <v>98</v>
      </c>
      <c r="D151" s="82" t="s">
        <v>377</v>
      </c>
      <c r="E151" s="82">
        <v>2000.0</v>
      </c>
      <c r="G151" s="82">
        <v>34745.51</v>
      </c>
      <c r="H151" s="82">
        <f t="shared" si="2"/>
        <v>34745.51</v>
      </c>
      <c r="I151" s="82">
        <f t="shared" si="1"/>
        <v>0</v>
      </c>
    </row>
    <row r="152" ht="12.75" customHeight="1">
      <c r="A152" s="81">
        <v>45829.0</v>
      </c>
      <c r="B152" s="82" t="s">
        <v>378</v>
      </c>
      <c r="C152" s="82" t="s">
        <v>122</v>
      </c>
      <c r="D152" s="82" t="s">
        <v>379</v>
      </c>
      <c r="E152" s="82"/>
      <c r="F152" s="82">
        <v>250000.0</v>
      </c>
      <c r="G152" s="82">
        <v>284745.51</v>
      </c>
      <c r="H152" s="82">
        <f t="shared" si="2"/>
        <v>284745.51</v>
      </c>
      <c r="I152" s="82">
        <f t="shared" si="1"/>
        <v>0</v>
      </c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12.75" customHeight="1">
      <c r="A153" s="81">
        <v>45829.0</v>
      </c>
      <c r="B153" s="82" t="s">
        <v>380</v>
      </c>
      <c r="C153" s="82" t="s">
        <v>87</v>
      </c>
      <c r="D153" s="82" t="s">
        <v>171</v>
      </c>
      <c r="E153" s="82">
        <v>2450.0</v>
      </c>
      <c r="G153" s="82">
        <v>282295.51</v>
      </c>
      <c r="H153" s="82">
        <f t="shared" si="2"/>
        <v>282295.51</v>
      </c>
      <c r="I153" s="82">
        <f t="shared" si="1"/>
        <v>0</v>
      </c>
    </row>
    <row r="154" ht="12.75" customHeight="1">
      <c r="A154" s="81">
        <v>45829.0</v>
      </c>
      <c r="B154" s="82" t="s">
        <v>381</v>
      </c>
      <c r="C154" s="82" t="s">
        <v>120</v>
      </c>
      <c r="D154" s="82" t="s">
        <v>197</v>
      </c>
      <c r="E154" s="82">
        <v>250000.0</v>
      </c>
      <c r="G154" s="82">
        <v>32295.51</v>
      </c>
      <c r="H154" s="82">
        <f t="shared" si="2"/>
        <v>32295.51</v>
      </c>
      <c r="I154" s="82">
        <f t="shared" si="1"/>
        <v>0</v>
      </c>
    </row>
    <row r="155" ht="12.75" customHeight="1">
      <c r="A155" s="81">
        <v>45831.0</v>
      </c>
      <c r="B155" s="82" t="s">
        <v>382</v>
      </c>
      <c r="C155" s="82" t="s">
        <v>81</v>
      </c>
      <c r="D155" s="82" t="s">
        <v>383</v>
      </c>
      <c r="E155" s="82">
        <v>50.0</v>
      </c>
      <c r="G155" s="82">
        <v>32245.51</v>
      </c>
      <c r="H155" s="82">
        <f t="shared" si="2"/>
        <v>32245.51</v>
      </c>
      <c r="I155" s="82">
        <f t="shared" si="1"/>
        <v>0</v>
      </c>
    </row>
    <row r="156" ht="12.75" customHeight="1">
      <c r="A156" s="81">
        <v>45831.0</v>
      </c>
      <c r="B156" s="82" t="s">
        <v>384</v>
      </c>
      <c r="C156" s="82" t="s">
        <v>100</v>
      </c>
      <c r="D156" s="82" t="s">
        <v>149</v>
      </c>
      <c r="E156" s="82">
        <v>180.9</v>
      </c>
      <c r="G156" s="82">
        <v>32064.61</v>
      </c>
      <c r="H156" s="82">
        <f t="shared" si="2"/>
        <v>32064.61</v>
      </c>
      <c r="I156" s="82">
        <f t="shared" si="1"/>
        <v>0</v>
      </c>
    </row>
    <row r="157" ht="12.75" customHeight="1">
      <c r="A157" s="81">
        <v>45834.0</v>
      </c>
      <c r="B157" s="82" t="s">
        <v>385</v>
      </c>
      <c r="C157" s="82" t="s">
        <v>87</v>
      </c>
      <c r="D157" s="82" t="s">
        <v>171</v>
      </c>
      <c r="E157" s="82">
        <v>770.0</v>
      </c>
      <c r="G157" s="82">
        <v>31294.61</v>
      </c>
      <c r="H157" s="82">
        <f t="shared" si="2"/>
        <v>31294.61</v>
      </c>
      <c r="I157" s="82">
        <f t="shared" si="1"/>
        <v>0</v>
      </c>
    </row>
    <row r="158" ht="12.75" customHeight="1">
      <c r="A158" s="81">
        <v>45835.0</v>
      </c>
      <c r="B158" s="82" t="s">
        <v>386</v>
      </c>
      <c r="C158" s="82" t="s">
        <v>87</v>
      </c>
      <c r="D158" s="82" t="s">
        <v>387</v>
      </c>
      <c r="E158" s="82">
        <v>999.0</v>
      </c>
      <c r="G158" s="82">
        <v>30295.61</v>
      </c>
      <c r="H158" s="82">
        <f t="shared" si="2"/>
        <v>30295.61</v>
      </c>
      <c r="I158" s="82">
        <f t="shared" si="1"/>
        <v>0</v>
      </c>
    </row>
    <row r="159" ht="12.75" customHeight="1">
      <c r="A159" s="81">
        <v>45835.0</v>
      </c>
      <c r="B159" s="82" t="s">
        <v>388</v>
      </c>
      <c r="C159" s="82" t="s">
        <v>87</v>
      </c>
      <c r="D159" s="82" t="s">
        <v>155</v>
      </c>
      <c r="E159" s="82">
        <v>3070.0</v>
      </c>
      <c r="G159" s="82">
        <v>27225.61</v>
      </c>
      <c r="H159" s="82">
        <f t="shared" si="2"/>
        <v>27225.61</v>
      </c>
      <c r="I159" s="82">
        <f t="shared" si="1"/>
        <v>0</v>
      </c>
    </row>
    <row r="160" ht="12.75" customHeight="1">
      <c r="A160" s="81">
        <v>45838.0</v>
      </c>
      <c r="B160" s="82" t="s">
        <v>389</v>
      </c>
      <c r="C160" s="82" t="s">
        <v>100</v>
      </c>
      <c r="D160" s="82" t="s">
        <v>149</v>
      </c>
      <c r="E160" s="82">
        <v>300.9</v>
      </c>
      <c r="G160" s="82">
        <v>26924.71</v>
      </c>
      <c r="H160" s="82">
        <f t="shared" si="2"/>
        <v>26924.71</v>
      </c>
      <c r="I160" s="82">
        <f t="shared" si="1"/>
        <v>0</v>
      </c>
    </row>
    <row r="161" ht="12.75" customHeight="1">
      <c r="A161" s="81">
        <v>45838.0</v>
      </c>
      <c r="B161" s="82" t="s">
        <v>390</v>
      </c>
      <c r="C161" s="83" t="s">
        <v>89</v>
      </c>
      <c r="D161" s="83" t="s">
        <v>234</v>
      </c>
      <c r="E161" s="82">
        <v>500.0</v>
      </c>
      <c r="G161" s="82">
        <v>26424.71</v>
      </c>
      <c r="H161" s="82">
        <f t="shared" si="2"/>
        <v>26424.71</v>
      </c>
      <c r="I161" s="82">
        <f t="shared" si="1"/>
        <v>0</v>
      </c>
    </row>
    <row r="162" ht="12.75" customHeight="1">
      <c r="A162" s="81">
        <v>45838.0</v>
      </c>
      <c r="B162" s="82" t="s">
        <v>391</v>
      </c>
      <c r="C162" s="82" t="s">
        <v>81</v>
      </c>
      <c r="D162" s="82" t="s">
        <v>392</v>
      </c>
      <c r="E162" s="82">
        <v>250.0</v>
      </c>
      <c r="G162" s="82">
        <v>26174.71</v>
      </c>
      <c r="H162" s="82">
        <f t="shared" si="2"/>
        <v>26174.71</v>
      </c>
      <c r="I162" s="82">
        <f t="shared" si="1"/>
        <v>0</v>
      </c>
    </row>
    <row r="163" ht="12.75" customHeight="1">
      <c r="A163" s="81">
        <v>45838.0</v>
      </c>
      <c r="B163" s="82" t="s">
        <v>393</v>
      </c>
      <c r="C163" s="82" t="s">
        <v>173</v>
      </c>
      <c r="D163" s="82" t="s">
        <v>112</v>
      </c>
      <c r="E163" s="82"/>
      <c r="F163" s="82">
        <v>8850.0</v>
      </c>
      <c r="G163" s="82">
        <v>35024.71</v>
      </c>
      <c r="H163" s="82">
        <f t="shared" si="2"/>
        <v>35024.71</v>
      </c>
      <c r="I163" s="82">
        <f t="shared" si="1"/>
        <v>0</v>
      </c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12.75" customHeight="1">
      <c r="A164" s="81">
        <v>45838.0</v>
      </c>
      <c r="B164" s="82" t="s">
        <v>394</v>
      </c>
      <c r="C164" s="82" t="s">
        <v>100</v>
      </c>
      <c r="D164" s="82" t="s">
        <v>149</v>
      </c>
      <c r="E164" s="82">
        <v>300.9</v>
      </c>
      <c r="G164" s="82">
        <v>34723.81</v>
      </c>
      <c r="H164" s="82">
        <f t="shared" si="2"/>
        <v>34723.81</v>
      </c>
      <c r="I164" s="82">
        <f t="shared" si="1"/>
        <v>0</v>
      </c>
    </row>
    <row r="165" ht="12.75" customHeight="1">
      <c r="A165" s="81">
        <v>45838.0</v>
      </c>
      <c r="B165" s="82" t="s">
        <v>395</v>
      </c>
      <c r="C165" s="82" t="s">
        <v>94</v>
      </c>
      <c r="D165" s="82" t="s">
        <v>158</v>
      </c>
      <c r="E165" s="82">
        <v>3009.0</v>
      </c>
      <c r="G165" s="82">
        <v>31714.81</v>
      </c>
      <c r="H165" s="82">
        <f t="shared" si="2"/>
        <v>31714.81</v>
      </c>
      <c r="I165" s="82">
        <f t="shared" si="1"/>
        <v>0</v>
      </c>
    </row>
    <row r="166" ht="12.75" customHeight="1">
      <c r="A166" s="81">
        <v>45839.0</v>
      </c>
      <c r="B166" s="82" t="s">
        <v>396</v>
      </c>
      <c r="C166" s="83" t="s">
        <v>97</v>
      </c>
      <c r="D166" s="83" t="s">
        <v>166</v>
      </c>
      <c r="E166" s="82">
        <v>1628.4</v>
      </c>
      <c r="G166" s="82">
        <v>30086.41</v>
      </c>
      <c r="H166" s="82">
        <f t="shared" si="2"/>
        <v>30086.41</v>
      </c>
      <c r="I166" s="82">
        <f t="shared" si="1"/>
        <v>0</v>
      </c>
    </row>
    <row r="167" ht="12.75" customHeight="1">
      <c r="A167" s="81">
        <v>45841.0</v>
      </c>
      <c r="B167" s="82" t="s">
        <v>397</v>
      </c>
      <c r="C167" s="82" t="s">
        <v>87</v>
      </c>
      <c r="D167" s="82" t="s">
        <v>171</v>
      </c>
      <c r="E167" s="82">
        <v>700.0</v>
      </c>
      <c r="G167" s="82">
        <v>29386.41</v>
      </c>
      <c r="H167" s="82">
        <f t="shared" si="2"/>
        <v>29386.41</v>
      </c>
      <c r="I167" s="82">
        <f t="shared" si="1"/>
        <v>0</v>
      </c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12.75" customHeight="1">
      <c r="A168" s="81">
        <v>45841.0</v>
      </c>
      <c r="B168" s="82" t="s">
        <v>398</v>
      </c>
      <c r="C168" s="82" t="s">
        <v>123</v>
      </c>
      <c r="D168" s="82" t="s">
        <v>399</v>
      </c>
      <c r="E168" s="82">
        <v>500.0</v>
      </c>
      <c r="G168" s="82">
        <v>28886.41</v>
      </c>
      <c r="H168" s="82">
        <f t="shared" si="2"/>
        <v>28886.41</v>
      </c>
      <c r="I168" s="82">
        <f t="shared" si="1"/>
        <v>0</v>
      </c>
    </row>
    <row r="169" ht="12.75" customHeight="1">
      <c r="A169" s="81">
        <v>45842.0</v>
      </c>
      <c r="B169" s="82" t="s">
        <v>400</v>
      </c>
      <c r="C169" s="82" t="s">
        <v>146</v>
      </c>
      <c r="D169" s="82" t="s">
        <v>147</v>
      </c>
      <c r="F169" s="82">
        <v>127472.0</v>
      </c>
      <c r="G169" s="82">
        <v>156358.41</v>
      </c>
      <c r="H169" s="82">
        <f t="shared" si="2"/>
        <v>156358.41</v>
      </c>
      <c r="I169" s="82">
        <f t="shared" si="1"/>
        <v>0</v>
      </c>
    </row>
    <row r="170" ht="12.75" customHeight="1">
      <c r="A170" s="81">
        <v>45843.0</v>
      </c>
      <c r="B170" s="82" t="s">
        <v>401</v>
      </c>
      <c r="C170" s="82" t="s">
        <v>83</v>
      </c>
      <c r="D170" s="82" t="s">
        <v>160</v>
      </c>
      <c r="E170" s="82">
        <v>90842.0</v>
      </c>
      <c r="G170" s="82">
        <v>65516.41</v>
      </c>
      <c r="H170" s="82">
        <f t="shared" si="2"/>
        <v>65516.41</v>
      </c>
      <c r="I170" s="82">
        <f t="shared" si="1"/>
        <v>0</v>
      </c>
    </row>
    <row r="171" ht="12.75" customHeight="1">
      <c r="A171" s="81">
        <v>45843.0</v>
      </c>
      <c r="B171" s="82" t="s">
        <v>402</v>
      </c>
      <c r="C171" s="83" t="s">
        <v>91</v>
      </c>
      <c r="D171" s="82" t="s">
        <v>162</v>
      </c>
      <c r="E171" s="82">
        <v>18875.0</v>
      </c>
      <c r="G171" s="82">
        <v>46641.41</v>
      </c>
      <c r="H171" s="82">
        <f t="shared" si="2"/>
        <v>46641.41</v>
      </c>
      <c r="I171" s="82">
        <f t="shared" si="1"/>
        <v>0</v>
      </c>
    </row>
    <row r="172" ht="12.75" customHeight="1">
      <c r="A172" s="81">
        <v>45843.0</v>
      </c>
      <c r="B172" s="82" t="s">
        <v>403</v>
      </c>
      <c r="C172" s="83" t="s">
        <v>91</v>
      </c>
      <c r="D172" s="82" t="s">
        <v>260</v>
      </c>
      <c r="E172" s="82">
        <v>18875.0</v>
      </c>
      <c r="G172" s="82">
        <v>27766.41</v>
      </c>
      <c r="H172" s="82">
        <f t="shared" si="2"/>
        <v>27766.41</v>
      </c>
      <c r="I172" s="82">
        <f t="shared" si="1"/>
        <v>0</v>
      </c>
    </row>
    <row r="173" ht="12.75" customHeight="1">
      <c r="A173" s="81">
        <v>45843.0</v>
      </c>
      <c r="B173" s="82" t="s">
        <v>404</v>
      </c>
      <c r="C173" s="82" t="s">
        <v>405</v>
      </c>
      <c r="D173" s="82" t="s">
        <v>160</v>
      </c>
      <c r="F173" s="82">
        <v>3000.0</v>
      </c>
      <c r="G173" s="82">
        <v>30766.41</v>
      </c>
      <c r="H173" s="82">
        <f t="shared" si="2"/>
        <v>30766.41</v>
      </c>
      <c r="I173" s="82">
        <f t="shared" si="1"/>
        <v>0</v>
      </c>
    </row>
    <row r="174" ht="12.75" customHeight="1">
      <c r="A174" s="81">
        <v>45843.0</v>
      </c>
      <c r="B174" s="82" t="s">
        <v>406</v>
      </c>
      <c r="C174" s="82" t="s">
        <v>123</v>
      </c>
      <c r="D174" s="82" t="s">
        <v>399</v>
      </c>
      <c r="E174" s="82">
        <v>2050.0</v>
      </c>
      <c r="G174" s="82">
        <v>28716.41</v>
      </c>
      <c r="H174" s="82">
        <f t="shared" si="2"/>
        <v>28716.41</v>
      </c>
      <c r="I174" s="82">
        <f t="shared" si="1"/>
        <v>0</v>
      </c>
    </row>
    <row r="175" ht="12.75" customHeight="1">
      <c r="A175" s="81">
        <v>45843.0</v>
      </c>
      <c r="B175" s="82" t="s">
        <v>407</v>
      </c>
      <c r="C175" s="82" t="s">
        <v>123</v>
      </c>
      <c r="D175" s="82" t="s">
        <v>399</v>
      </c>
      <c r="E175" s="82">
        <v>100.0</v>
      </c>
      <c r="G175" s="82">
        <v>28616.41</v>
      </c>
      <c r="H175" s="82">
        <f t="shared" si="2"/>
        <v>28616.41</v>
      </c>
      <c r="I175" s="82">
        <f t="shared" si="1"/>
        <v>0</v>
      </c>
    </row>
    <row r="176" ht="12.75" customHeight="1">
      <c r="A176" s="81">
        <v>45843.0</v>
      </c>
      <c r="B176" s="82" t="s">
        <v>408</v>
      </c>
      <c r="C176" s="83" t="s">
        <v>106</v>
      </c>
      <c r="D176" s="83" t="s">
        <v>409</v>
      </c>
      <c r="F176" s="82">
        <v>2970.0</v>
      </c>
      <c r="G176" s="82">
        <v>31586.41</v>
      </c>
      <c r="H176" s="82">
        <f t="shared" si="2"/>
        <v>31586.41</v>
      </c>
      <c r="I176" s="82">
        <f t="shared" si="1"/>
        <v>0</v>
      </c>
    </row>
    <row r="177" ht="12.75" customHeight="1">
      <c r="A177" s="81">
        <v>45844.0</v>
      </c>
      <c r="B177" s="82" t="s">
        <v>410</v>
      </c>
      <c r="C177" s="82" t="s">
        <v>123</v>
      </c>
      <c r="D177" s="82" t="s">
        <v>399</v>
      </c>
      <c r="E177" s="82">
        <v>670.0</v>
      </c>
      <c r="G177" s="82">
        <v>30916.41</v>
      </c>
      <c r="H177" s="82">
        <f t="shared" si="2"/>
        <v>30916.41</v>
      </c>
      <c r="I177" s="82">
        <f t="shared" si="1"/>
        <v>0</v>
      </c>
    </row>
    <row r="178" ht="12.75" customHeight="1">
      <c r="A178" s="81">
        <v>45844.0</v>
      </c>
      <c r="B178" s="82" t="s">
        <v>411</v>
      </c>
      <c r="C178" s="82" t="s">
        <v>123</v>
      </c>
      <c r="D178" s="82" t="s">
        <v>399</v>
      </c>
      <c r="E178" s="82">
        <v>1148.6</v>
      </c>
      <c r="G178" s="82">
        <v>29767.81</v>
      </c>
      <c r="H178" s="82">
        <f t="shared" si="2"/>
        <v>29767.81</v>
      </c>
      <c r="I178" s="82">
        <f t="shared" si="1"/>
        <v>0</v>
      </c>
    </row>
    <row r="179" ht="12.75" customHeight="1">
      <c r="A179" s="81">
        <v>45845.0</v>
      </c>
      <c r="B179" s="82" t="s">
        <v>412</v>
      </c>
      <c r="C179" s="82" t="s">
        <v>173</v>
      </c>
      <c r="D179" s="82" t="s">
        <v>413</v>
      </c>
      <c r="F179" s="82">
        <v>10620.0</v>
      </c>
      <c r="G179" s="82">
        <v>40387.81</v>
      </c>
      <c r="H179" s="82">
        <f t="shared" si="2"/>
        <v>40387.81</v>
      </c>
      <c r="I179" s="82">
        <f t="shared" si="1"/>
        <v>0</v>
      </c>
    </row>
    <row r="180" ht="12.75" customHeight="1">
      <c r="A180" s="81">
        <v>45845.0</v>
      </c>
      <c r="B180" s="82" t="s">
        <v>414</v>
      </c>
      <c r="C180" s="82" t="s">
        <v>85</v>
      </c>
      <c r="D180" s="82" t="s">
        <v>151</v>
      </c>
      <c r="E180" s="82">
        <v>24629.0</v>
      </c>
      <c r="G180" s="82">
        <v>15758.81</v>
      </c>
      <c r="H180" s="82">
        <f t="shared" si="2"/>
        <v>15758.81</v>
      </c>
      <c r="I180" s="82">
        <f t="shared" si="1"/>
        <v>0</v>
      </c>
    </row>
    <row r="181" ht="12.75" customHeight="1">
      <c r="A181" s="81">
        <v>45845.0</v>
      </c>
      <c r="B181" s="82" t="s">
        <v>415</v>
      </c>
      <c r="C181" s="83" t="s">
        <v>106</v>
      </c>
      <c r="D181" s="83" t="s">
        <v>274</v>
      </c>
      <c r="E181" s="82">
        <v>7100.0</v>
      </c>
      <c r="G181" s="82">
        <v>8658.81</v>
      </c>
      <c r="H181" s="82">
        <f t="shared" si="2"/>
        <v>8658.81</v>
      </c>
      <c r="I181" s="82">
        <f t="shared" si="1"/>
        <v>0</v>
      </c>
    </row>
    <row r="182" ht="12.75" customHeight="1">
      <c r="A182" s="81">
        <v>45846.0</v>
      </c>
      <c r="B182" s="82" t="s">
        <v>416</v>
      </c>
      <c r="C182" s="82" t="s">
        <v>123</v>
      </c>
      <c r="D182" s="82" t="s">
        <v>399</v>
      </c>
      <c r="E182" s="82">
        <v>649.0</v>
      </c>
      <c r="G182" s="82">
        <v>8009.81</v>
      </c>
      <c r="H182" s="82">
        <f t="shared" si="2"/>
        <v>8009.81</v>
      </c>
      <c r="I182" s="82">
        <f t="shared" si="1"/>
        <v>0</v>
      </c>
    </row>
    <row r="183" ht="12.75" customHeight="1">
      <c r="A183" s="81">
        <v>45849.0</v>
      </c>
      <c r="B183" s="82" t="s">
        <v>417</v>
      </c>
      <c r="C183" s="82" t="s">
        <v>87</v>
      </c>
      <c r="D183" s="82" t="s">
        <v>195</v>
      </c>
      <c r="E183" s="82">
        <v>555.0</v>
      </c>
      <c r="G183" s="82">
        <v>7454.81</v>
      </c>
      <c r="H183" s="82">
        <f t="shared" si="2"/>
        <v>7454.81</v>
      </c>
      <c r="I183" s="82">
        <f t="shared" si="1"/>
        <v>0</v>
      </c>
    </row>
    <row r="184" ht="12.75" customHeight="1">
      <c r="A184" s="81">
        <v>45849.0</v>
      </c>
      <c r="B184" s="82" t="s">
        <v>418</v>
      </c>
      <c r="C184" s="82" t="s">
        <v>98</v>
      </c>
      <c r="D184" s="82" t="s">
        <v>419</v>
      </c>
      <c r="E184" s="82">
        <v>500.0</v>
      </c>
      <c r="G184" s="82">
        <v>6954.81</v>
      </c>
      <c r="H184" s="82">
        <f t="shared" si="2"/>
        <v>6954.81</v>
      </c>
      <c r="I184" s="82">
        <f t="shared" si="1"/>
        <v>0</v>
      </c>
    </row>
    <row r="185" ht="12.75" customHeight="1">
      <c r="A185" s="81">
        <v>45852.0</v>
      </c>
      <c r="B185" s="82" t="s">
        <v>420</v>
      </c>
      <c r="C185" s="83" t="s">
        <v>106</v>
      </c>
      <c r="D185" s="83" t="s">
        <v>421</v>
      </c>
      <c r="E185" s="82">
        <v>3815.0</v>
      </c>
      <c r="G185" s="82">
        <v>3139.81</v>
      </c>
      <c r="H185" s="82">
        <f t="shared" si="2"/>
        <v>3139.81</v>
      </c>
      <c r="I185" s="82">
        <f t="shared" si="1"/>
        <v>0</v>
      </c>
    </row>
    <row r="186" ht="12.75" customHeight="1">
      <c r="A186" s="81">
        <v>45852.0</v>
      </c>
      <c r="B186" s="82" t="s">
        <v>422</v>
      </c>
      <c r="C186" s="82" t="s">
        <v>173</v>
      </c>
      <c r="D186" s="82" t="s">
        <v>109</v>
      </c>
      <c r="F186" s="82">
        <v>16330.68</v>
      </c>
      <c r="G186" s="82">
        <v>19470.49</v>
      </c>
      <c r="H186" s="82">
        <f t="shared" si="2"/>
        <v>19470.49</v>
      </c>
      <c r="I186" s="82">
        <f t="shared" si="1"/>
        <v>0</v>
      </c>
    </row>
    <row r="187" ht="12.75" customHeight="1">
      <c r="A187" s="81">
        <v>45852.0</v>
      </c>
      <c r="B187" s="82" t="s">
        <v>423</v>
      </c>
      <c r="C187" s="82" t="s">
        <v>173</v>
      </c>
      <c r="D187" s="82" t="s">
        <v>110</v>
      </c>
      <c r="F187" s="82">
        <v>25410.64</v>
      </c>
      <c r="G187" s="82">
        <v>44881.13</v>
      </c>
      <c r="H187" s="82">
        <f t="shared" si="2"/>
        <v>44881.13</v>
      </c>
      <c r="I187" s="82">
        <f t="shared" si="1"/>
        <v>0</v>
      </c>
    </row>
    <row r="188" ht="12.75" customHeight="1">
      <c r="A188" s="81">
        <v>45853.0</v>
      </c>
      <c r="B188" s="82" t="s">
        <v>424</v>
      </c>
      <c r="C188" s="82" t="s">
        <v>102</v>
      </c>
      <c r="D188" s="82" t="s">
        <v>425</v>
      </c>
      <c r="E188" s="82">
        <v>7500.0</v>
      </c>
      <c r="G188" s="82">
        <v>37381.13</v>
      </c>
      <c r="H188" s="82">
        <f t="shared" si="2"/>
        <v>37381.13</v>
      </c>
      <c r="I188" s="82">
        <f t="shared" si="1"/>
        <v>0</v>
      </c>
    </row>
    <row r="189" ht="12.75" customHeight="1">
      <c r="A189" s="81">
        <v>45853.0</v>
      </c>
      <c r="B189" s="82" t="s">
        <v>426</v>
      </c>
      <c r="C189" s="83" t="s">
        <v>97</v>
      </c>
      <c r="D189" s="83" t="s">
        <v>427</v>
      </c>
      <c r="E189" s="82">
        <v>1193.93</v>
      </c>
      <c r="G189" s="82">
        <v>36187.2</v>
      </c>
      <c r="H189" s="82">
        <f t="shared" si="2"/>
        <v>36187.2</v>
      </c>
      <c r="I189" s="82">
        <f t="shared" si="1"/>
        <v>0</v>
      </c>
    </row>
    <row r="190" ht="12.75" customHeight="1">
      <c r="A190" s="81">
        <v>45853.0</v>
      </c>
      <c r="B190" s="82" t="s">
        <v>428</v>
      </c>
      <c r="C190" s="83" t="s">
        <v>97</v>
      </c>
      <c r="D190" s="83" t="s">
        <v>427</v>
      </c>
      <c r="E190" s="82">
        <v>1193.93</v>
      </c>
      <c r="G190" s="82">
        <v>34993.27</v>
      </c>
      <c r="H190" s="82">
        <f t="shared" si="2"/>
        <v>34993.27</v>
      </c>
      <c r="I190" s="82">
        <f t="shared" si="1"/>
        <v>0</v>
      </c>
    </row>
    <row r="191" ht="12.75" customHeight="1">
      <c r="A191" s="81">
        <v>45853.0</v>
      </c>
      <c r="B191" s="82" t="s">
        <v>429</v>
      </c>
      <c r="C191" s="82" t="s">
        <v>88</v>
      </c>
      <c r="D191" s="82" t="s">
        <v>205</v>
      </c>
      <c r="E191" s="82">
        <v>1712.72</v>
      </c>
      <c r="G191" s="82">
        <v>33280.55</v>
      </c>
      <c r="H191" s="82">
        <f t="shared" si="2"/>
        <v>33280.55</v>
      </c>
      <c r="I191" s="82">
        <f t="shared" si="1"/>
        <v>0</v>
      </c>
    </row>
    <row r="192" ht="12.75" customHeight="1">
      <c r="A192" s="81">
        <v>45853.0</v>
      </c>
      <c r="B192" s="82" t="s">
        <v>430</v>
      </c>
      <c r="C192" s="82" t="s">
        <v>88</v>
      </c>
      <c r="D192" s="82" t="s">
        <v>205</v>
      </c>
      <c r="E192" s="82">
        <v>1650.82</v>
      </c>
      <c r="G192" s="82">
        <v>31629.73</v>
      </c>
      <c r="H192" s="82">
        <f t="shared" si="2"/>
        <v>31629.73</v>
      </c>
      <c r="I192" s="82">
        <f t="shared" si="1"/>
        <v>0</v>
      </c>
    </row>
    <row r="193" ht="12.75" customHeight="1">
      <c r="A193" s="81">
        <v>45853.0</v>
      </c>
      <c r="B193" s="82" t="s">
        <v>431</v>
      </c>
      <c r="C193" s="82" t="s">
        <v>87</v>
      </c>
      <c r="D193" s="82" t="s">
        <v>155</v>
      </c>
      <c r="E193" s="82">
        <v>2970.0</v>
      </c>
      <c r="G193" s="82">
        <v>28659.73</v>
      </c>
      <c r="H193" s="82">
        <f t="shared" si="2"/>
        <v>28659.73</v>
      </c>
      <c r="I193" s="82">
        <f t="shared" si="1"/>
        <v>0</v>
      </c>
    </row>
    <row r="194" ht="12.75" customHeight="1">
      <c r="A194" s="81">
        <v>45853.0</v>
      </c>
      <c r="B194" s="82" t="s">
        <v>432</v>
      </c>
      <c r="C194" s="82" t="s">
        <v>86</v>
      </c>
      <c r="D194" s="82" t="s">
        <v>433</v>
      </c>
      <c r="E194" s="82">
        <v>27593.0</v>
      </c>
      <c r="G194" s="82">
        <v>1066.73</v>
      </c>
      <c r="H194" s="82">
        <f t="shared" si="2"/>
        <v>1066.73</v>
      </c>
      <c r="I194" s="82">
        <f t="shared" si="1"/>
        <v>0</v>
      </c>
    </row>
    <row r="195" ht="12.75" customHeight="1">
      <c r="A195" s="81">
        <v>45853.0</v>
      </c>
      <c r="B195" s="82" t="s">
        <v>434</v>
      </c>
      <c r="C195" s="82" t="s">
        <v>173</v>
      </c>
      <c r="D195" s="82" t="s">
        <v>435</v>
      </c>
      <c r="F195" s="82">
        <v>70800.0</v>
      </c>
      <c r="G195" s="82">
        <v>71866.73</v>
      </c>
      <c r="H195" s="82">
        <f t="shared" si="2"/>
        <v>71866.73</v>
      </c>
      <c r="I195" s="82">
        <f t="shared" si="1"/>
        <v>0</v>
      </c>
    </row>
    <row r="196" ht="12.75" customHeight="1">
      <c r="A196" s="81">
        <v>45855.0</v>
      </c>
      <c r="B196" s="82" t="s">
        <v>436</v>
      </c>
      <c r="C196" s="82" t="s">
        <v>100</v>
      </c>
      <c r="D196" s="82" t="s">
        <v>149</v>
      </c>
      <c r="E196" s="82">
        <v>300.9</v>
      </c>
      <c r="G196" s="82">
        <v>71565.83</v>
      </c>
      <c r="H196" s="82">
        <f t="shared" si="2"/>
        <v>71565.83</v>
      </c>
      <c r="I196" s="82">
        <f t="shared" si="1"/>
        <v>0</v>
      </c>
    </row>
    <row r="197" ht="12.75" customHeight="1">
      <c r="A197" s="81">
        <v>45856.0</v>
      </c>
      <c r="B197" s="82" t="s">
        <v>437</v>
      </c>
      <c r="C197" s="82" t="s">
        <v>88</v>
      </c>
      <c r="D197" s="82" t="s">
        <v>230</v>
      </c>
      <c r="E197" s="82">
        <v>5313.54</v>
      </c>
      <c r="G197" s="82">
        <v>66252.29</v>
      </c>
      <c r="H197" s="82">
        <f t="shared" si="2"/>
        <v>66252.29</v>
      </c>
      <c r="I197" s="82">
        <f t="shared" si="1"/>
        <v>0</v>
      </c>
    </row>
    <row r="198" ht="12.75" customHeight="1">
      <c r="A198" s="81">
        <v>45856.0</v>
      </c>
      <c r="B198" s="82" t="s">
        <v>438</v>
      </c>
      <c r="C198" s="82" t="s">
        <v>100</v>
      </c>
      <c r="D198" s="82" t="s">
        <v>149</v>
      </c>
      <c r="E198" s="82">
        <v>236.0</v>
      </c>
      <c r="G198" s="82">
        <v>66016.29</v>
      </c>
      <c r="H198" s="82">
        <f t="shared" si="2"/>
        <v>66016.29</v>
      </c>
      <c r="I198" s="82">
        <f t="shared" si="1"/>
        <v>0</v>
      </c>
    </row>
    <row r="199" ht="12.75" customHeight="1">
      <c r="A199" s="81">
        <v>45856.0</v>
      </c>
      <c r="B199" s="82" t="s">
        <v>439</v>
      </c>
      <c r="C199" s="82" t="s">
        <v>146</v>
      </c>
      <c r="D199" s="82" t="s">
        <v>147</v>
      </c>
      <c r="F199" s="82">
        <v>128313.51</v>
      </c>
      <c r="G199" s="82">
        <v>194329.8</v>
      </c>
      <c r="H199" s="82">
        <f t="shared" si="2"/>
        <v>194329.8</v>
      </c>
      <c r="I199" s="82">
        <f t="shared" si="1"/>
        <v>0</v>
      </c>
    </row>
    <row r="200" ht="12.75" customHeight="1">
      <c r="A200" s="81">
        <v>45856.0</v>
      </c>
      <c r="B200" s="82" t="s">
        <v>440</v>
      </c>
      <c r="C200" s="83" t="s">
        <v>92</v>
      </c>
      <c r="D200" s="83" t="s">
        <v>236</v>
      </c>
      <c r="E200" s="82">
        <v>3308.0</v>
      </c>
      <c r="G200" s="82">
        <v>191021.8</v>
      </c>
      <c r="H200" s="82">
        <f t="shared" si="2"/>
        <v>191021.8</v>
      </c>
      <c r="I200" s="82">
        <f t="shared" si="1"/>
        <v>0</v>
      </c>
    </row>
    <row r="201" ht="12.75" customHeight="1">
      <c r="A201" s="81">
        <v>45856.0</v>
      </c>
      <c r="B201" s="82" t="s">
        <v>441</v>
      </c>
      <c r="C201" s="82" t="s">
        <v>96</v>
      </c>
      <c r="D201" s="82" t="s">
        <v>175</v>
      </c>
      <c r="E201" s="82">
        <v>115224.0</v>
      </c>
      <c r="G201" s="82">
        <v>75797.8</v>
      </c>
      <c r="H201" s="82">
        <f t="shared" si="2"/>
        <v>75797.8</v>
      </c>
      <c r="I201" s="82">
        <f t="shared" si="1"/>
        <v>0</v>
      </c>
    </row>
    <row r="202" ht="12.75" customHeight="1">
      <c r="A202" s="81">
        <v>45856.0</v>
      </c>
      <c r="B202" s="82" t="s">
        <v>442</v>
      </c>
      <c r="C202" s="82" t="s">
        <v>98</v>
      </c>
      <c r="D202" s="82" t="s">
        <v>179</v>
      </c>
      <c r="E202" s="82">
        <v>4857.0</v>
      </c>
      <c r="G202" s="82">
        <v>70940.8</v>
      </c>
      <c r="H202" s="82">
        <f t="shared" si="2"/>
        <v>70940.8</v>
      </c>
      <c r="I202" s="82">
        <f t="shared" si="1"/>
        <v>0</v>
      </c>
    </row>
    <row r="203" ht="12.75" customHeight="1">
      <c r="A203" s="81">
        <v>45856.0</v>
      </c>
      <c r="B203" s="82" t="s">
        <v>443</v>
      </c>
      <c r="C203" s="82" t="s">
        <v>98</v>
      </c>
      <c r="D203" s="82" t="s">
        <v>181</v>
      </c>
      <c r="E203" s="82">
        <v>7942.0</v>
      </c>
      <c r="G203" s="82">
        <v>62998.8</v>
      </c>
      <c r="H203" s="82">
        <f t="shared" si="2"/>
        <v>62998.8</v>
      </c>
      <c r="I203" s="82">
        <f t="shared" si="1"/>
        <v>0</v>
      </c>
    </row>
    <row r="204" ht="12.75" customHeight="1">
      <c r="A204" s="81">
        <v>45856.0</v>
      </c>
      <c r="B204" s="82" t="s">
        <v>444</v>
      </c>
      <c r="C204" s="82" t="s">
        <v>98</v>
      </c>
      <c r="D204" s="82" t="s">
        <v>419</v>
      </c>
      <c r="E204" s="82">
        <v>4826.0</v>
      </c>
      <c r="G204" s="82">
        <v>58172.8</v>
      </c>
      <c r="H204" s="82">
        <f t="shared" si="2"/>
        <v>58172.8</v>
      </c>
      <c r="I204" s="82">
        <f t="shared" si="1"/>
        <v>0</v>
      </c>
    </row>
    <row r="205" ht="12.75" customHeight="1">
      <c r="A205" s="81">
        <v>45856.0</v>
      </c>
      <c r="B205" s="82" t="s">
        <v>445</v>
      </c>
      <c r="C205" s="82" t="s">
        <v>98</v>
      </c>
      <c r="D205" s="82" t="s">
        <v>333</v>
      </c>
      <c r="E205" s="82">
        <v>8696.0</v>
      </c>
      <c r="G205" s="82">
        <v>49476.8</v>
      </c>
      <c r="H205" s="82">
        <f t="shared" si="2"/>
        <v>49476.8</v>
      </c>
      <c r="I205" s="82">
        <f t="shared" si="1"/>
        <v>0</v>
      </c>
    </row>
    <row r="206" ht="12.75" customHeight="1">
      <c r="A206" s="81">
        <v>45856.0</v>
      </c>
      <c r="B206" s="82" t="s">
        <v>446</v>
      </c>
      <c r="C206" s="82" t="s">
        <v>98</v>
      </c>
      <c r="D206" s="82" t="s">
        <v>183</v>
      </c>
      <c r="E206" s="82">
        <v>5783.0</v>
      </c>
      <c r="G206" s="82">
        <v>43693.8</v>
      </c>
      <c r="H206" s="82">
        <f t="shared" si="2"/>
        <v>43693.8</v>
      </c>
      <c r="I206" s="82">
        <f t="shared" si="1"/>
        <v>0</v>
      </c>
    </row>
    <row r="207" ht="12.75" customHeight="1">
      <c r="A207" s="81">
        <v>45856.0</v>
      </c>
      <c r="B207" s="82" t="s">
        <v>447</v>
      </c>
      <c r="C207" s="82" t="s">
        <v>98</v>
      </c>
      <c r="D207" s="82" t="s">
        <v>448</v>
      </c>
      <c r="E207" s="82">
        <v>4239.0</v>
      </c>
      <c r="G207" s="82">
        <v>39454.8</v>
      </c>
      <c r="H207" s="82">
        <f t="shared" si="2"/>
        <v>39454.8</v>
      </c>
      <c r="I207" s="82">
        <f t="shared" si="1"/>
        <v>0</v>
      </c>
    </row>
    <row r="208" ht="12.75" customHeight="1">
      <c r="A208" s="81">
        <v>45856.0</v>
      </c>
      <c r="B208" s="82" t="s">
        <v>449</v>
      </c>
      <c r="C208" s="82" t="s">
        <v>98</v>
      </c>
      <c r="D208" s="82" t="s">
        <v>226</v>
      </c>
      <c r="E208" s="82">
        <v>4200.0</v>
      </c>
      <c r="G208" s="82">
        <v>35254.8</v>
      </c>
      <c r="H208" s="82">
        <f t="shared" si="2"/>
        <v>35254.8</v>
      </c>
      <c r="I208" s="82">
        <f t="shared" si="1"/>
        <v>0</v>
      </c>
    </row>
    <row r="209" ht="12.75" customHeight="1">
      <c r="A209" s="81">
        <v>45856.0</v>
      </c>
      <c r="B209" s="82" t="s">
        <v>450</v>
      </c>
      <c r="C209" s="82" t="s">
        <v>98</v>
      </c>
      <c r="D209" s="82" t="s">
        <v>190</v>
      </c>
      <c r="E209" s="82">
        <v>8327.0</v>
      </c>
      <c r="G209" s="82">
        <v>26927.8</v>
      </c>
      <c r="H209" s="82">
        <f t="shared" si="2"/>
        <v>26927.8</v>
      </c>
      <c r="I209" s="82">
        <f t="shared" si="1"/>
        <v>0</v>
      </c>
    </row>
    <row r="210" ht="12.75" customHeight="1">
      <c r="A210" s="81">
        <v>45856.0</v>
      </c>
      <c r="B210" s="82" t="s">
        <v>451</v>
      </c>
      <c r="C210" s="82" t="s">
        <v>98</v>
      </c>
      <c r="D210" s="82" t="s">
        <v>192</v>
      </c>
      <c r="E210" s="82">
        <v>5867.0</v>
      </c>
      <c r="G210" s="82">
        <v>21060.8</v>
      </c>
      <c r="H210" s="82">
        <f t="shared" si="2"/>
        <v>21060.8</v>
      </c>
      <c r="I210" s="82">
        <f t="shared" si="1"/>
        <v>0</v>
      </c>
    </row>
    <row r="211" ht="12.75" customHeight="1">
      <c r="A211" s="81">
        <v>45856.0</v>
      </c>
      <c r="B211" s="82" t="s">
        <v>452</v>
      </c>
      <c r="C211" s="82" t="s">
        <v>98</v>
      </c>
      <c r="D211" s="82" t="s">
        <v>453</v>
      </c>
      <c r="E211" s="82">
        <v>4000.0</v>
      </c>
      <c r="G211" s="82">
        <v>17060.8</v>
      </c>
      <c r="H211" s="82">
        <f t="shared" si="2"/>
        <v>17060.8</v>
      </c>
      <c r="I211" s="82">
        <f t="shared" si="1"/>
        <v>0</v>
      </c>
    </row>
    <row r="212" ht="12.75" customHeight="1">
      <c r="A212" s="81">
        <v>45856.0</v>
      </c>
      <c r="B212" s="82" t="s">
        <v>454</v>
      </c>
      <c r="C212" s="82" t="s">
        <v>98</v>
      </c>
      <c r="D212" s="82" t="s">
        <v>455</v>
      </c>
      <c r="E212" s="82">
        <v>6087.0</v>
      </c>
      <c r="G212" s="82">
        <v>10973.8</v>
      </c>
      <c r="H212" s="82">
        <f t="shared" si="2"/>
        <v>10973.8</v>
      </c>
      <c r="I212" s="82">
        <f t="shared" si="1"/>
        <v>0</v>
      </c>
    </row>
    <row r="213" ht="12.75" customHeight="1">
      <c r="A213" s="81">
        <v>45856.0</v>
      </c>
      <c r="B213" s="82" t="s">
        <v>456</v>
      </c>
      <c r="C213" s="82" t="s">
        <v>98</v>
      </c>
      <c r="D213" s="82" t="s">
        <v>338</v>
      </c>
      <c r="E213" s="82">
        <v>6543.0</v>
      </c>
      <c r="G213" s="82">
        <v>4430.8</v>
      </c>
      <c r="H213" s="82">
        <f t="shared" si="2"/>
        <v>4430.8</v>
      </c>
      <c r="I213" s="82">
        <f t="shared" si="1"/>
        <v>0</v>
      </c>
    </row>
    <row r="214" ht="12.75" customHeight="1">
      <c r="A214" s="81">
        <v>45857.0</v>
      </c>
      <c r="B214" s="82" t="s">
        <v>457</v>
      </c>
      <c r="C214" s="82" t="s">
        <v>98</v>
      </c>
      <c r="D214" s="82" t="s">
        <v>458</v>
      </c>
      <c r="E214" s="82">
        <v>2800.0</v>
      </c>
      <c r="G214" s="82">
        <v>1630.8</v>
      </c>
      <c r="H214" s="82">
        <f t="shared" si="2"/>
        <v>1630.8</v>
      </c>
      <c r="I214" s="82">
        <f t="shared" si="1"/>
        <v>0</v>
      </c>
    </row>
    <row r="215" ht="12.75" customHeight="1">
      <c r="A215" s="81">
        <v>45859.0</v>
      </c>
      <c r="B215" s="82" t="s">
        <v>459</v>
      </c>
      <c r="C215" s="82" t="s">
        <v>100</v>
      </c>
      <c r="D215" s="82" t="s">
        <v>149</v>
      </c>
      <c r="E215" s="82">
        <v>180.9</v>
      </c>
      <c r="G215" s="82">
        <v>1449.9</v>
      </c>
      <c r="H215" s="82">
        <f t="shared" si="2"/>
        <v>1449.9</v>
      </c>
      <c r="I215" s="82">
        <f t="shared" si="1"/>
        <v>0</v>
      </c>
    </row>
    <row r="216" ht="12.75" customHeight="1">
      <c r="A216" s="81">
        <v>45859.0</v>
      </c>
      <c r="B216" s="82" t="s">
        <v>460</v>
      </c>
      <c r="C216" s="82" t="s">
        <v>123</v>
      </c>
      <c r="D216" s="82" t="s">
        <v>399</v>
      </c>
      <c r="F216" s="82">
        <v>300.0</v>
      </c>
      <c r="G216" s="82">
        <v>1749.9</v>
      </c>
      <c r="H216" s="82">
        <f t="shared" si="2"/>
        <v>1749.9</v>
      </c>
      <c r="I216" s="82">
        <f t="shared" si="1"/>
        <v>0</v>
      </c>
    </row>
    <row r="217" ht="12.75" customHeight="1">
      <c r="A217" s="81">
        <v>45859.0</v>
      </c>
      <c r="B217" s="82" t="s">
        <v>461</v>
      </c>
      <c r="C217" s="83" t="s">
        <v>97</v>
      </c>
      <c r="D217" s="83" t="s">
        <v>427</v>
      </c>
      <c r="E217" s="82">
        <v>1699.0</v>
      </c>
      <c r="G217" s="82">
        <v>50.9</v>
      </c>
      <c r="H217" s="82">
        <f t="shared" si="2"/>
        <v>50.9</v>
      </c>
      <c r="I217" s="82">
        <f t="shared" si="1"/>
        <v>0</v>
      </c>
    </row>
    <row r="218" ht="12.75" customHeight="1">
      <c r="A218" s="81">
        <v>45863.0</v>
      </c>
      <c r="B218" s="82" t="s">
        <v>462</v>
      </c>
      <c r="C218" s="82" t="s">
        <v>173</v>
      </c>
      <c r="D218" s="82" t="s">
        <v>110</v>
      </c>
      <c r="F218" s="82">
        <v>79688.66</v>
      </c>
      <c r="G218" s="82">
        <v>79739.56</v>
      </c>
      <c r="H218" s="82">
        <f t="shared" si="2"/>
        <v>79739.56</v>
      </c>
      <c r="I218" s="82">
        <f t="shared" si="1"/>
        <v>0</v>
      </c>
    </row>
    <row r="219" ht="12.75" customHeight="1">
      <c r="A219" s="81">
        <v>45863.0</v>
      </c>
      <c r="B219" s="82" t="s">
        <v>463</v>
      </c>
      <c r="C219" s="82" t="s">
        <v>98</v>
      </c>
      <c r="D219" s="82" t="s">
        <v>188</v>
      </c>
      <c r="E219" s="82">
        <v>2283.0</v>
      </c>
      <c r="G219" s="82">
        <v>77456.56</v>
      </c>
      <c r="H219" s="82">
        <f t="shared" si="2"/>
        <v>77456.56</v>
      </c>
      <c r="I219" s="82">
        <f t="shared" si="1"/>
        <v>0</v>
      </c>
    </row>
    <row r="220" ht="12.75" customHeight="1">
      <c r="A220" s="81">
        <v>45863.0</v>
      </c>
      <c r="B220" s="82" t="s">
        <v>464</v>
      </c>
      <c r="C220" s="82" t="s">
        <v>98</v>
      </c>
      <c r="D220" s="82" t="s">
        <v>465</v>
      </c>
      <c r="E220" s="82">
        <v>4261.0</v>
      </c>
      <c r="G220" s="82">
        <v>73195.56</v>
      </c>
      <c r="H220" s="82">
        <f t="shared" si="2"/>
        <v>73195.56</v>
      </c>
      <c r="I220" s="82">
        <f t="shared" si="1"/>
        <v>0</v>
      </c>
    </row>
    <row r="221" ht="12.75" customHeight="1">
      <c r="A221" s="81">
        <v>45864.0</v>
      </c>
      <c r="B221" s="82" t="s">
        <v>466</v>
      </c>
      <c r="C221" s="82" t="s">
        <v>108</v>
      </c>
      <c r="D221" s="82" t="s">
        <v>467</v>
      </c>
      <c r="E221" s="82">
        <v>1500.0</v>
      </c>
      <c r="G221" s="82">
        <v>71695.56</v>
      </c>
      <c r="H221" s="82">
        <f t="shared" si="2"/>
        <v>71695.56</v>
      </c>
      <c r="I221" s="82">
        <f t="shared" si="1"/>
        <v>0</v>
      </c>
    </row>
    <row r="222" ht="12.75" customHeight="1">
      <c r="A222" s="81">
        <v>45864.0</v>
      </c>
      <c r="B222" s="82" t="s">
        <v>468</v>
      </c>
      <c r="C222" s="82" t="s">
        <v>108</v>
      </c>
      <c r="D222" s="82" t="s">
        <v>469</v>
      </c>
      <c r="E222" s="82">
        <v>665.0</v>
      </c>
      <c r="G222" s="82">
        <v>71030.56</v>
      </c>
      <c r="H222" s="82">
        <f t="shared" si="2"/>
        <v>71030.56</v>
      </c>
      <c r="I222" s="82">
        <f t="shared" si="1"/>
        <v>0</v>
      </c>
    </row>
    <row r="223" ht="12.75" customHeight="1">
      <c r="A223" s="81">
        <v>45864.0</v>
      </c>
      <c r="B223" s="82" t="s">
        <v>470</v>
      </c>
      <c r="C223" s="82" t="s">
        <v>87</v>
      </c>
      <c r="D223" s="82" t="s">
        <v>155</v>
      </c>
      <c r="E223" s="82">
        <v>70.0</v>
      </c>
      <c r="G223" s="82">
        <v>70960.56</v>
      </c>
      <c r="H223" s="82">
        <f t="shared" si="2"/>
        <v>70960.56</v>
      </c>
      <c r="I223" s="82">
        <f t="shared" si="1"/>
        <v>0</v>
      </c>
    </row>
    <row r="224" ht="12.75" customHeight="1">
      <c r="A224" s="81">
        <v>45864.0</v>
      </c>
      <c r="B224" s="82" t="s">
        <v>471</v>
      </c>
      <c r="C224" s="82" t="s">
        <v>87</v>
      </c>
      <c r="D224" s="82" t="s">
        <v>195</v>
      </c>
      <c r="E224" s="82">
        <v>110.0</v>
      </c>
      <c r="G224" s="82">
        <v>70850.56</v>
      </c>
      <c r="H224" s="82">
        <f t="shared" si="2"/>
        <v>70850.56</v>
      </c>
      <c r="I224" s="82">
        <f t="shared" si="1"/>
        <v>0</v>
      </c>
    </row>
    <row r="225" ht="12.75" customHeight="1">
      <c r="A225" s="81">
        <v>45864.0</v>
      </c>
      <c r="B225" s="82" t="s">
        <v>472</v>
      </c>
      <c r="C225" s="82" t="s">
        <v>87</v>
      </c>
      <c r="D225" s="82" t="s">
        <v>195</v>
      </c>
      <c r="E225" s="82">
        <v>761.0</v>
      </c>
      <c r="G225" s="82">
        <v>70089.56</v>
      </c>
      <c r="H225" s="82">
        <f t="shared" si="2"/>
        <v>70089.56</v>
      </c>
      <c r="I225" s="82">
        <f t="shared" si="1"/>
        <v>0</v>
      </c>
    </row>
    <row r="226" ht="12.75" customHeight="1">
      <c r="A226" s="81">
        <v>45865.0</v>
      </c>
      <c r="B226" s="82" t="s">
        <v>473</v>
      </c>
      <c r="C226" s="82" t="s">
        <v>123</v>
      </c>
      <c r="D226" s="82" t="s">
        <v>399</v>
      </c>
      <c r="E226" s="82">
        <v>1575.0</v>
      </c>
      <c r="G226" s="82">
        <v>68514.56</v>
      </c>
      <c r="H226" s="82">
        <f t="shared" si="2"/>
        <v>68514.56</v>
      </c>
      <c r="I226" s="82">
        <f t="shared" si="1"/>
        <v>0</v>
      </c>
    </row>
    <row r="227" ht="12.75" customHeight="1">
      <c r="A227" s="81">
        <v>45865.0</v>
      </c>
      <c r="B227" s="82" t="s">
        <v>474</v>
      </c>
      <c r="C227" s="82" t="s">
        <v>123</v>
      </c>
      <c r="D227" s="82" t="s">
        <v>399</v>
      </c>
      <c r="E227" s="82">
        <v>1000.0</v>
      </c>
      <c r="G227" s="82">
        <v>67514.56</v>
      </c>
      <c r="H227" s="82">
        <f t="shared" si="2"/>
        <v>67514.56</v>
      </c>
      <c r="I227" s="82">
        <f t="shared" si="1"/>
        <v>0</v>
      </c>
    </row>
    <row r="228" ht="12.75" customHeight="1">
      <c r="A228" s="81">
        <v>45865.0</v>
      </c>
      <c r="B228" s="82" t="s">
        <v>475</v>
      </c>
      <c r="C228" s="82" t="s">
        <v>123</v>
      </c>
      <c r="D228" s="82" t="s">
        <v>399</v>
      </c>
      <c r="E228" s="82">
        <v>2500.0</v>
      </c>
      <c r="G228" s="82">
        <v>65014.56</v>
      </c>
      <c r="H228" s="82">
        <f t="shared" si="2"/>
        <v>65014.56</v>
      </c>
      <c r="I228" s="82">
        <f t="shared" si="1"/>
        <v>0</v>
      </c>
    </row>
    <row r="229" ht="12.75" customHeight="1">
      <c r="A229" s="81">
        <v>45866.0</v>
      </c>
      <c r="B229" s="82" t="s">
        <v>476</v>
      </c>
      <c r="C229" s="82" t="s">
        <v>100</v>
      </c>
      <c r="D229" s="82" t="s">
        <v>149</v>
      </c>
      <c r="E229" s="82">
        <v>300.9</v>
      </c>
      <c r="G229" s="82">
        <v>64713.66</v>
      </c>
      <c r="H229" s="82">
        <f t="shared" si="2"/>
        <v>64713.66</v>
      </c>
      <c r="I229" s="82">
        <f t="shared" si="1"/>
        <v>0</v>
      </c>
    </row>
    <row r="230" ht="12.75" customHeight="1">
      <c r="A230" s="81">
        <v>45866.0</v>
      </c>
      <c r="B230" s="82" t="s">
        <v>477</v>
      </c>
      <c r="C230" s="82" t="s">
        <v>87</v>
      </c>
      <c r="D230" s="82" t="s">
        <v>195</v>
      </c>
      <c r="E230" s="82">
        <v>1500.0</v>
      </c>
      <c r="G230" s="82">
        <v>63213.66</v>
      </c>
      <c r="H230" s="82">
        <f t="shared" si="2"/>
        <v>63213.66</v>
      </c>
      <c r="I230" s="82">
        <f t="shared" si="1"/>
        <v>0</v>
      </c>
    </row>
    <row r="231" ht="12.75" customHeight="1">
      <c r="A231" s="81">
        <v>45866.0</v>
      </c>
      <c r="B231" s="82" t="s">
        <v>478</v>
      </c>
      <c r="C231" s="82" t="s">
        <v>114</v>
      </c>
      <c r="D231" s="82" t="s">
        <v>375</v>
      </c>
      <c r="E231" s="82">
        <v>2000.0</v>
      </c>
      <c r="G231" s="82">
        <v>61213.66</v>
      </c>
      <c r="H231" s="82">
        <f t="shared" si="2"/>
        <v>61213.66</v>
      </c>
      <c r="I231" s="82">
        <f t="shared" si="1"/>
        <v>0</v>
      </c>
    </row>
    <row r="232" ht="12.75" customHeight="1">
      <c r="A232" s="81">
        <v>45866.0</v>
      </c>
      <c r="B232" s="82" t="s">
        <v>479</v>
      </c>
      <c r="C232" s="83" t="s">
        <v>92</v>
      </c>
      <c r="D232" s="83" t="s">
        <v>480</v>
      </c>
      <c r="E232" s="82">
        <v>2700.0</v>
      </c>
      <c r="G232" s="82">
        <v>58513.66</v>
      </c>
      <c r="H232" s="82">
        <f t="shared" si="2"/>
        <v>58513.66</v>
      </c>
      <c r="I232" s="82">
        <f t="shared" si="1"/>
        <v>0</v>
      </c>
    </row>
    <row r="233" ht="12.75" customHeight="1">
      <c r="A233" s="81">
        <v>45867.0</v>
      </c>
      <c r="B233" s="82" t="s">
        <v>481</v>
      </c>
      <c r="C233" s="82" t="s">
        <v>87</v>
      </c>
      <c r="D233" s="82" t="s">
        <v>155</v>
      </c>
      <c r="E233" s="82">
        <v>2800.0</v>
      </c>
      <c r="G233" s="82">
        <v>55713.66</v>
      </c>
      <c r="H233" s="82">
        <f t="shared" si="2"/>
        <v>55713.66</v>
      </c>
      <c r="I233" s="82">
        <f t="shared" si="1"/>
        <v>0</v>
      </c>
    </row>
    <row r="234" ht="12.75" customHeight="1">
      <c r="A234" s="81">
        <v>45867.0</v>
      </c>
      <c r="B234" s="82" t="s">
        <v>482</v>
      </c>
      <c r="C234" s="82" t="s">
        <v>123</v>
      </c>
      <c r="D234" s="82" t="s">
        <v>399</v>
      </c>
      <c r="E234" s="82">
        <v>2831.5</v>
      </c>
      <c r="G234" s="82">
        <v>52882.16</v>
      </c>
      <c r="H234" s="82">
        <f t="shared" si="2"/>
        <v>52882.16</v>
      </c>
      <c r="I234" s="82">
        <f t="shared" si="1"/>
        <v>0</v>
      </c>
    </row>
    <row r="235" ht="12.75" customHeight="1">
      <c r="A235" s="81">
        <v>45867.0</v>
      </c>
      <c r="B235" s="82" t="s">
        <v>483</v>
      </c>
      <c r="C235" s="82" t="s">
        <v>7</v>
      </c>
      <c r="D235" s="82" t="s">
        <v>484</v>
      </c>
      <c r="E235" s="82">
        <v>400.0</v>
      </c>
      <c r="G235" s="82">
        <v>52482.16</v>
      </c>
      <c r="H235" s="82">
        <f t="shared" si="2"/>
        <v>52482.16</v>
      </c>
      <c r="I235" s="82">
        <f t="shared" si="1"/>
        <v>0</v>
      </c>
    </row>
    <row r="236" ht="12.75" customHeight="1">
      <c r="A236" s="81">
        <v>45868.0</v>
      </c>
      <c r="B236" s="82" t="s">
        <v>485</v>
      </c>
      <c r="C236" s="82" t="s">
        <v>405</v>
      </c>
      <c r="D236" s="82" t="s">
        <v>486</v>
      </c>
      <c r="E236" s="82">
        <v>4000.0</v>
      </c>
      <c r="G236" s="82">
        <v>48482.16</v>
      </c>
      <c r="H236" s="82">
        <f t="shared" si="2"/>
        <v>48482.16</v>
      </c>
      <c r="I236" s="82">
        <f t="shared" si="1"/>
        <v>0</v>
      </c>
    </row>
    <row r="237" ht="12.75" customHeight="1">
      <c r="A237" s="81">
        <v>45868.0</v>
      </c>
      <c r="B237" s="82" t="s">
        <v>487</v>
      </c>
      <c r="C237" s="82" t="s">
        <v>98</v>
      </c>
      <c r="D237" s="82" t="s">
        <v>331</v>
      </c>
      <c r="E237" s="82">
        <v>7000.0</v>
      </c>
      <c r="G237" s="82">
        <v>41482.16</v>
      </c>
      <c r="H237" s="82">
        <f t="shared" si="2"/>
        <v>41482.16</v>
      </c>
      <c r="I237" s="82">
        <f t="shared" si="1"/>
        <v>0</v>
      </c>
    </row>
    <row r="238" ht="12.75" customHeight="1">
      <c r="A238" s="81">
        <v>45868.0</v>
      </c>
      <c r="B238" s="82" t="s">
        <v>488</v>
      </c>
      <c r="C238" s="83" t="s">
        <v>89</v>
      </c>
      <c r="D238" s="83" t="s">
        <v>234</v>
      </c>
      <c r="E238" s="82">
        <v>15000.0</v>
      </c>
      <c r="G238" s="82">
        <v>26482.16</v>
      </c>
      <c r="H238" s="82">
        <f t="shared" si="2"/>
        <v>26482.16</v>
      </c>
      <c r="I238" s="82">
        <f t="shared" si="1"/>
        <v>0</v>
      </c>
    </row>
    <row r="239" ht="12.75" customHeight="1">
      <c r="A239" s="81">
        <v>45868.0</v>
      </c>
      <c r="B239" s="82" t="s">
        <v>489</v>
      </c>
      <c r="C239" s="82" t="s">
        <v>90</v>
      </c>
      <c r="D239" s="82" t="s">
        <v>490</v>
      </c>
      <c r="E239" s="82">
        <v>2100.0</v>
      </c>
      <c r="G239" s="82">
        <v>24382.16</v>
      </c>
      <c r="H239" s="82">
        <f t="shared" si="2"/>
        <v>24382.16</v>
      </c>
      <c r="I239" s="82">
        <f t="shared" si="1"/>
        <v>0</v>
      </c>
    </row>
    <row r="240" ht="12.75" customHeight="1">
      <c r="A240" s="84">
        <v>45868.0</v>
      </c>
      <c r="B240" s="85" t="s">
        <v>491</v>
      </c>
      <c r="C240" s="82" t="s">
        <v>98</v>
      </c>
      <c r="D240" s="82" t="s">
        <v>492</v>
      </c>
      <c r="E240" s="85">
        <v>500.0</v>
      </c>
      <c r="G240" s="82">
        <v>23882.160000000025</v>
      </c>
      <c r="H240" s="82">
        <f t="shared" si="2"/>
        <v>23882.16</v>
      </c>
      <c r="I240" s="82">
        <f t="shared" si="1"/>
        <v>0</v>
      </c>
    </row>
    <row r="241" ht="12.75" customHeight="1">
      <c r="A241" s="84">
        <v>45869.0</v>
      </c>
      <c r="B241" s="85" t="s">
        <v>493</v>
      </c>
      <c r="C241" s="82" t="s">
        <v>108</v>
      </c>
      <c r="D241" s="82" t="s">
        <v>494</v>
      </c>
      <c r="E241" s="85">
        <v>2000.0</v>
      </c>
      <c r="G241" s="82">
        <v>21882.160000000025</v>
      </c>
      <c r="H241" s="82">
        <f t="shared" si="2"/>
        <v>21882.16</v>
      </c>
      <c r="I241" s="82">
        <f t="shared" si="1"/>
        <v>0</v>
      </c>
    </row>
    <row r="242" ht="12.75" customHeight="1">
      <c r="A242" s="84">
        <v>45869.0</v>
      </c>
      <c r="B242" s="85" t="s">
        <v>495</v>
      </c>
      <c r="C242" s="82" t="s">
        <v>97</v>
      </c>
      <c r="D242" s="82" t="s">
        <v>427</v>
      </c>
      <c r="E242" s="85">
        <v>896.44</v>
      </c>
      <c r="G242" s="82">
        <v>20985.720000000027</v>
      </c>
      <c r="H242" s="82">
        <f t="shared" si="2"/>
        <v>20985.72</v>
      </c>
      <c r="I242" s="82">
        <f t="shared" si="1"/>
        <v>0</v>
      </c>
    </row>
    <row r="243" ht="12.75" customHeight="1">
      <c r="A243" s="84">
        <v>45870.0</v>
      </c>
      <c r="B243" s="85" t="s">
        <v>496</v>
      </c>
      <c r="C243" s="82" t="s">
        <v>118</v>
      </c>
      <c r="E243" s="85">
        <v>572.0</v>
      </c>
      <c r="G243" s="85">
        <v>20413.72</v>
      </c>
      <c r="H243" s="82">
        <f t="shared" si="2"/>
        <v>20413.72</v>
      </c>
      <c r="I243" s="82">
        <f t="shared" si="1"/>
        <v>0</v>
      </c>
    </row>
    <row r="244" ht="12.75" customHeight="1">
      <c r="A244" s="84">
        <v>45870.0</v>
      </c>
      <c r="B244" s="85" t="s">
        <v>497</v>
      </c>
      <c r="C244" s="82" t="s">
        <v>118</v>
      </c>
      <c r="E244" s="85">
        <v>500.0</v>
      </c>
      <c r="G244" s="85">
        <v>19913.72</v>
      </c>
      <c r="H244" s="82">
        <f t="shared" si="2"/>
        <v>19913.72</v>
      </c>
      <c r="I244" s="82">
        <f t="shared" si="1"/>
        <v>0</v>
      </c>
    </row>
    <row r="245" ht="12.75" customHeight="1">
      <c r="A245" s="84">
        <v>45870.0</v>
      </c>
      <c r="B245" s="85" t="s">
        <v>498</v>
      </c>
      <c r="C245" s="82" t="s">
        <v>100</v>
      </c>
      <c r="D245" s="82" t="s">
        <v>149</v>
      </c>
      <c r="E245" s="85">
        <v>300.9</v>
      </c>
      <c r="G245" s="85">
        <v>19612.82</v>
      </c>
      <c r="H245" s="82">
        <f t="shared" si="2"/>
        <v>19612.82</v>
      </c>
      <c r="I245" s="82">
        <f t="shared" si="1"/>
        <v>0</v>
      </c>
    </row>
    <row r="246" ht="12.75" customHeight="1">
      <c r="A246" s="84">
        <v>45870.0</v>
      </c>
      <c r="B246" s="85" t="s">
        <v>499</v>
      </c>
      <c r="C246" s="82" t="s">
        <v>118</v>
      </c>
      <c r="E246" s="85">
        <v>50.0</v>
      </c>
      <c r="G246" s="85">
        <v>19562.82</v>
      </c>
      <c r="H246" s="82">
        <f t="shared" si="2"/>
        <v>19562.82</v>
      </c>
      <c r="I246" s="82">
        <f t="shared" si="1"/>
        <v>0</v>
      </c>
    </row>
    <row r="247" ht="12.75" customHeight="1">
      <c r="A247" s="84">
        <v>45870.0</v>
      </c>
      <c r="B247" s="85" t="s">
        <v>500</v>
      </c>
      <c r="C247" s="82" t="s">
        <v>146</v>
      </c>
      <c r="D247" s="85" t="s">
        <v>147</v>
      </c>
      <c r="F247" s="85">
        <v>129980.89</v>
      </c>
      <c r="G247" s="85">
        <v>149543.71</v>
      </c>
      <c r="H247" s="82">
        <f t="shared" si="2"/>
        <v>149543.71</v>
      </c>
      <c r="I247" s="82">
        <f t="shared" si="1"/>
        <v>0</v>
      </c>
    </row>
    <row r="248" ht="12.75" customHeight="1">
      <c r="A248" s="84">
        <v>45870.0</v>
      </c>
      <c r="B248" s="85" t="s">
        <v>501</v>
      </c>
      <c r="C248" s="82" t="s">
        <v>83</v>
      </c>
      <c r="D248" s="85" t="s">
        <v>160</v>
      </c>
      <c r="E248" s="85">
        <v>90842.0</v>
      </c>
      <c r="G248" s="85">
        <v>58701.71</v>
      </c>
      <c r="H248" s="82">
        <f t="shared" si="2"/>
        <v>58701.71</v>
      </c>
      <c r="I248" s="82">
        <f t="shared" si="1"/>
        <v>0</v>
      </c>
    </row>
    <row r="249" ht="12.75" customHeight="1">
      <c r="A249" s="84">
        <v>45871.0</v>
      </c>
      <c r="B249" s="85" t="s">
        <v>502</v>
      </c>
      <c r="C249" s="82" t="s">
        <v>118</v>
      </c>
      <c r="E249" s="85">
        <v>500.0</v>
      </c>
      <c r="G249" s="85">
        <v>58201.71</v>
      </c>
      <c r="H249" s="82">
        <f t="shared" si="2"/>
        <v>58201.71</v>
      </c>
      <c r="I249" s="82">
        <f t="shared" si="1"/>
        <v>0</v>
      </c>
    </row>
    <row r="250" ht="12.75" customHeight="1">
      <c r="A250" s="84">
        <v>45871.0</v>
      </c>
      <c r="B250" s="85" t="s">
        <v>503</v>
      </c>
      <c r="C250" s="83" t="s">
        <v>97</v>
      </c>
      <c r="D250" s="83" t="s">
        <v>166</v>
      </c>
      <c r="E250" s="85">
        <v>1852.21</v>
      </c>
      <c r="G250" s="85">
        <v>56349.5</v>
      </c>
      <c r="H250" s="82">
        <f t="shared" si="2"/>
        <v>56349.5</v>
      </c>
      <c r="I250" s="82">
        <f t="shared" si="1"/>
        <v>0</v>
      </c>
    </row>
    <row r="251" ht="12.75" customHeight="1">
      <c r="A251" s="84">
        <v>45872.0</v>
      </c>
      <c r="B251" s="85" t="s">
        <v>504</v>
      </c>
      <c r="C251" s="82" t="s">
        <v>98</v>
      </c>
      <c r="D251" s="85" t="s">
        <v>505</v>
      </c>
      <c r="E251" s="85">
        <v>1000.0</v>
      </c>
      <c r="G251" s="85">
        <v>55349.5</v>
      </c>
      <c r="H251" s="82">
        <f t="shared" si="2"/>
        <v>55349.5</v>
      </c>
      <c r="I251" s="82">
        <f t="shared" si="1"/>
        <v>0</v>
      </c>
    </row>
    <row r="252" ht="12.75" customHeight="1">
      <c r="A252" s="84">
        <v>45873.0</v>
      </c>
      <c r="B252" s="85" t="s">
        <v>506</v>
      </c>
      <c r="C252" s="82" t="s">
        <v>507</v>
      </c>
      <c r="D252" s="85" t="s">
        <v>129</v>
      </c>
      <c r="F252" s="85">
        <v>100000.0</v>
      </c>
      <c r="G252" s="85">
        <v>155349.5</v>
      </c>
      <c r="H252" s="82">
        <f t="shared" si="2"/>
        <v>155349.5</v>
      </c>
      <c r="I252" s="82">
        <f t="shared" si="1"/>
        <v>0</v>
      </c>
    </row>
    <row r="253" ht="12.75" customHeight="1">
      <c r="A253" s="84">
        <v>45873.0</v>
      </c>
      <c r="B253" s="85" t="s">
        <v>508</v>
      </c>
      <c r="C253" s="82" t="s">
        <v>87</v>
      </c>
      <c r="D253" s="82" t="s">
        <v>171</v>
      </c>
      <c r="E253" s="85">
        <v>890.0</v>
      </c>
      <c r="G253" s="85">
        <v>154459.5</v>
      </c>
      <c r="H253" s="82">
        <f t="shared" si="2"/>
        <v>154459.5</v>
      </c>
      <c r="I253" s="82">
        <f t="shared" si="1"/>
        <v>0</v>
      </c>
    </row>
    <row r="254" ht="12.75" customHeight="1">
      <c r="A254" s="84">
        <v>45873.0</v>
      </c>
      <c r="B254" s="85" t="s">
        <v>509</v>
      </c>
      <c r="C254" s="82" t="s">
        <v>87</v>
      </c>
      <c r="D254" s="82" t="s">
        <v>155</v>
      </c>
      <c r="E254" s="85">
        <v>1620.0</v>
      </c>
      <c r="G254" s="85">
        <v>152839.5</v>
      </c>
      <c r="H254" s="82">
        <f t="shared" si="2"/>
        <v>152839.5</v>
      </c>
      <c r="I254" s="82">
        <f t="shared" si="1"/>
        <v>0</v>
      </c>
    </row>
    <row r="255" ht="12.75" customHeight="1">
      <c r="A255" s="84">
        <v>45873.0</v>
      </c>
      <c r="B255" s="85" t="s">
        <v>510</v>
      </c>
      <c r="C255" s="82" t="s">
        <v>81</v>
      </c>
      <c r="D255" s="82" t="s">
        <v>392</v>
      </c>
      <c r="E255" s="85">
        <v>220.0</v>
      </c>
      <c r="G255" s="85">
        <v>152619.5</v>
      </c>
      <c r="H255" s="82">
        <f t="shared" si="2"/>
        <v>152619.5</v>
      </c>
      <c r="I255" s="82">
        <f t="shared" si="1"/>
        <v>0</v>
      </c>
    </row>
    <row r="256" ht="12.75" customHeight="1">
      <c r="A256" s="84">
        <v>45873.0</v>
      </c>
      <c r="B256" s="85" t="s">
        <v>511</v>
      </c>
      <c r="C256" s="82" t="s">
        <v>100</v>
      </c>
      <c r="D256" s="82" t="s">
        <v>149</v>
      </c>
      <c r="E256" s="85">
        <v>300.9</v>
      </c>
      <c r="G256" s="85">
        <v>152318.6</v>
      </c>
      <c r="H256" s="82">
        <f t="shared" si="2"/>
        <v>152318.6</v>
      </c>
      <c r="I256" s="82">
        <f t="shared" si="1"/>
        <v>0</v>
      </c>
    </row>
    <row r="257" ht="12.75" customHeight="1">
      <c r="A257" s="84">
        <v>45873.0</v>
      </c>
      <c r="B257" s="85" t="s">
        <v>512</v>
      </c>
      <c r="C257" s="82" t="s">
        <v>83</v>
      </c>
      <c r="D257" s="82" t="s">
        <v>218</v>
      </c>
      <c r="E257" s="85">
        <v>77992.0</v>
      </c>
      <c r="G257" s="85">
        <v>74326.6</v>
      </c>
      <c r="H257" s="82">
        <f t="shared" si="2"/>
        <v>74326.6</v>
      </c>
      <c r="I257" s="82">
        <f t="shared" si="1"/>
        <v>0</v>
      </c>
    </row>
    <row r="258" ht="12.75" customHeight="1">
      <c r="A258" s="84">
        <v>45874.0</v>
      </c>
      <c r="B258" s="85" t="s">
        <v>513</v>
      </c>
      <c r="C258" s="82" t="s">
        <v>91</v>
      </c>
      <c r="D258" s="82" t="s">
        <v>162</v>
      </c>
      <c r="E258" s="85">
        <v>18875.0</v>
      </c>
      <c r="G258" s="85">
        <v>55451.6</v>
      </c>
      <c r="H258" s="82">
        <f t="shared" si="2"/>
        <v>55451.6</v>
      </c>
      <c r="I258" s="82">
        <f t="shared" si="1"/>
        <v>0</v>
      </c>
    </row>
    <row r="259" ht="12.75" customHeight="1">
      <c r="A259" s="84">
        <v>45874.0</v>
      </c>
      <c r="B259" s="85" t="s">
        <v>514</v>
      </c>
      <c r="C259" s="82" t="s">
        <v>91</v>
      </c>
      <c r="D259" s="82" t="s">
        <v>260</v>
      </c>
      <c r="E259" s="85">
        <v>18875.0</v>
      </c>
      <c r="G259" s="85">
        <v>36576.6</v>
      </c>
      <c r="H259" s="82">
        <f t="shared" si="2"/>
        <v>36576.6</v>
      </c>
      <c r="I259" s="82">
        <f t="shared" si="1"/>
        <v>0</v>
      </c>
    </row>
    <row r="260" ht="12.75" customHeight="1">
      <c r="A260" s="84">
        <v>45875.0</v>
      </c>
      <c r="B260" s="85" t="s">
        <v>515</v>
      </c>
      <c r="C260" s="83" t="s">
        <v>106</v>
      </c>
      <c r="D260" s="83" t="s">
        <v>274</v>
      </c>
      <c r="E260" s="85">
        <v>4130.0</v>
      </c>
      <c r="G260" s="85">
        <v>32446.6</v>
      </c>
      <c r="H260" s="82">
        <f t="shared" si="2"/>
        <v>32446.6</v>
      </c>
      <c r="I260" s="82">
        <f t="shared" si="1"/>
        <v>0</v>
      </c>
    </row>
    <row r="261" ht="12.75" customHeight="1">
      <c r="A261" s="84">
        <v>45875.0</v>
      </c>
      <c r="B261" s="85" t="s">
        <v>516</v>
      </c>
      <c r="C261" s="82" t="s">
        <v>108</v>
      </c>
      <c r="D261" s="82" t="s">
        <v>265</v>
      </c>
      <c r="E261" s="85">
        <v>150.0</v>
      </c>
      <c r="G261" s="85">
        <v>32296.6</v>
      </c>
      <c r="H261" s="82">
        <f t="shared" si="2"/>
        <v>32296.6</v>
      </c>
      <c r="I261" s="82">
        <f t="shared" si="1"/>
        <v>0</v>
      </c>
    </row>
    <row r="262" ht="12.75" customHeight="1">
      <c r="A262" s="84">
        <v>45875.0</v>
      </c>
      <c r="B262" s="85" t="s">
        <v>517</v>
      </c>
      <c r="C262" s="83" t="s">
        <v>97</v>
      </c>
      <c r="D262" s="83" t="s">
        <v>427</v>
      </c>
      <c r="E262" s="85">
        <v>766.44</v>
      </c>
      <c r="G262" s="85">
        <v>31530.16</v>
      </c>
      <c r="H262" s="82">
        <f t="shared" si="2"/>
        <v>31530.16</v>
      </c>
      <c r="I262" s="82">
        <f t="shared" si="1"/>
        <v>0</v>
      </c>
    </row>
    <row r="263" ht="12.75" customHeight="1">
      <c r="A263" s="84">
        <v>45879.0</v>
      </c>
      <c r="B263" s="85" t="s">
        <v>518</v>
      </c>
      <c r="C263" s="82" t="s">
        <v>118</v>
      </c>
      <c r="E263" s="85">
        <v>20000.0</v>
      </c>
      <c r="G263" s="85">
        <v>11530.16</v>
      </c>
      <c r="H263" s="82">
        <f t="shared" si="2"/>
        <v>11530.16</v>
      </c>
      <c r="I263" s="82">
        <f t="shared" si="1"/>
        <v>0</v>
      </c>
    </row>
    <row r="264" ht="12.75" customHeight="1">
      <c r="A264" s="84">
        <v>45879.0</v>
      </c>
      <c r="B264" s="85" t="s">
        <v>519</v>
      </c>
      <c r="C264" s="82" t="s">
        <v>87</v>
      </c>
      <c r="D264" s="82" t="s">
        <v>195</v>
      </c>
      <c r="E264" s="85">
        <v>500.0</v>
      </c>
      <c r="G264" s="85">
        <v>11030.16</v>
      </c>
      <c r="H264" s="82">
        <f t="shared" si="2"/>
        <v>11030.16</v>
      </c>
      <c r="I264" s="82">
        <f t="shared" si="1"/>
        <v>0</v>
      </c>
    </row>
    <row r="265" ht="12.75" customHeight="1">
      <c r="A265" s="84">
        <v>45880.0</v>
      </c>
      <c r="B265" s="85" t="s">
        <v>520</v>
      </c>
      <c r="C265" s="82" t="s">
        <v>173</v>
      </c>
      <c r="D265" s="85" t="s">
        <v>110</v>
      </c>
      <c r="F265" s="85">
        <v>107451.91</v>
      </c>
      <c r="G265" s="85">
        <v>118482.07</v>
      </c>
      <c r="H265" s="82">
        <f t="shared" si="2"/>
        <v>118482.07</v>
      </c>
      <c r="I265" s="82">
        <f t="shared" si="1"/>
        <v>0</v>
      </c>
    </row>
    <row r="266" ht="12.75" customHeight="1">
      <c r="A266" s="84">
        <v>45880.0</v>
      </c>
      <c r="B266" s="85" t="s">
        <v>521</v>
      </c>
      <c r="C266" s="82" t="s">
        <v>87</v>
      </c>
      <c r="D266" s="82" t="s">
        <v>195</v>
      </c>
      <c r="E266" s="85">
        <v>242.0</v>
      </c>
      <c r="G266" s="85">
        <v>118240.07</v>
      </c>
      <c r="H266" s="82">
        <f t="shared" si="2"/>
        <v>118240.07</v>
      </c>
      <c r="I266" s="82">
        <f t="shared" si="1"/>
        <v>0</v>
      </c>
    </row>
    <row r="267" ht="12.75" customHeight="1">
      <c r="A267" s="84">
        <v>45880.0</v>
      </c>
      <c r="B267" s="85" t="s">
        <v>522</v>
      </c>
      <c r="C267" s="83" t="s">
        <v>97</v>
      </c>
      <c r="D267" s="83" t="s">
        <v>427</v>
      </c>
      <c r="E267" s="85">
        <v>8629.2</v>
      </c>
      <c r="G267" s="85">
        <v>109610.87</v>
      </c>
      <c r="H267" s="82">
        <f t="shared" si="2"/>
        <v>109610.87</v>
      </c>
      <c r="I267" s="82">
        <f t="shared" si="1"/>
        <v>0</v>
      </c>
    </row>
    <row r="268" ht="12.75" customHeight="1">
      <c r="A268" s="84">
        <v>45881.0</v>
      </c>
      <c r="B268" s="85" t="s">
        <v>523</v>
      </c>
      <c r="C268" s="82" t="s">
        <v>118</v>
      </c>
      <c r="E268" s="85">
        <v>195.0</v>
      </c>
      <c r="G268" s="85">
        <v>109415.87</v>
      </c>
      <c r="H268" s="82">
        <f t="shared" si="2"/>
        <v>109415.87</v>
      </c>
      <c r="I268" s="82">
        <f t="shared" si="1"/>
        <v>0</v>
      </c>
    </row>
    <row r="269" ht="12.75" customHeight="1">
      <c r="A269" s="84">
        <v>45881.0</v>
      </c>
      <c r="B269" s="85" t="s">
        <v>524</v>
      </c>
      <c r="C269" s="82" t="s">
        <v>96</v>
      </c>
      <c r="D269" s="85" t="s">
        <v>175</v>
      </c>
      <c r="E269" s="85">
        <v>84523.0</v>
      </c>
      <c r="G269" s="85">
        <v>24892.87</v>
      </c>
      <c r="H269" s="82">
        <f t="shared" si="2"/>
        <v>24892.87</v>
      </c>
      <c r="I269" s="82">
        <f t="shared" si="1"/>
        <v>0</v>
      </c>
    </row>
    <row r="270" ht="12.75" customHeight="1">
      <c r="A270" s="84">
        <v>45881.0</v>
      </c>
      <c r="B270" s="85" t="s">
        <v>525</v>
      </c>
      <c r="C270" s="82" t="s">
        <v>96</v>
      </c>
      <c r="D270" s="85" t="s">
        <v>190</v>
      </c>
      <c r="E270" s="85">
        <v>7649.0</v>
      </c>
      <c r="G270" s="85">
        <v>17243.87</v>
      </c>
      <c r="H270" s="82">
        <f t="shared" si="2"/>
        <v>17243.87</v>
      </c>
      <c r="I270" s="82">
        <f t="shared" si="1"/>
        <v>0</v>
      </c>
    </row>
    <row r="271" ht="12.75" customHeight="1">
      <c r="A271" s="84">
        <v>45881.0</v>
      </c>
      <c r="B271" s="85" t="s">
        <v>526</v>
      </c>
      <c r="C271" s="82" t="s">
        <v>96</v>
      </c>
      <c r="D271" s="85" t="s">
        <v>179</v>
      </c>
      <c r="E271" s="85">
        <v>8358.0</v>
      </c>
      <c r="G271" s="85">
        <v>8885.87</v>
      </c>
      <c r="H271" s="82">
        <f t="shared" si="2"/>
        <v>8885.87</v>
      </c>
      <c r="I271" s="82">
        <f t="shared" si="1"/>
        <v>0</v>
      </c>
    </row>
    <row r="272" ht="12.75" customHeight="1">
      <c r="A272" s="84">
        <v>45881.0</v>
      </c>
      <c r="B272" s="85" t="s">
        <v>527</v>
      </c>
      <c r="C272" s="82" t="s">
        <v>98</v>
      </c>
      <c r="D272" s="85" t="s">
        <v>528</v>
      </c>
      <c r="E272" s="85">
        <v>3880.0</v>
      </c>
      <c r="G272" s="85">
        <v>5005.87</v>
      </c>
      <c r="H272" s="82">
        <f t="shared" si="2"/>
        <v>5005.87</v>
      </c>
      <c r="I272" s="82">
        <f t="shared" si="1"/>
        <v>0</v>
      </c>
    </row>
    <row r="273" ht="12.75" customHeight="1">
      <c r="A273" s="84">
        <v>45881.0</v>
      </c>
      <c r="B273" s="85" t="s">
        <v>529</v>
      </c>
      <c r="C273" s="82" t="s">
        <v>118</v>
      </c>
      <c r="E273" s="85">
        <v>74.0</v>
      </c>
      <c r="G273" s="85">
        <v>4931.87</v>
      </c>
      <c r="H273" s="82">
        <f t="shared" si="2"/>
        <v>4931.87</v>
      </c>
      <c r="I273" s="82">
        <f t="shared" si="1"/>
        <v>0</v>
      </c>
    </row>
    <row r="274" ht="12.75" customHeight="1">
      <c r="A274" s="84">
        <v>45882.0</v>
      </c>
      <c r="B274" s="85" t="s">
        <v>530</v>
      </c>
      <c r="C274" s="82" t="s">
        <v>118</v>
      </c>
      <c r="E274" s="85">
        <v>3000.0</v>
      </c>
      <c r="G274" s="85">
        <v>1931.87</v>
      </c>
      <c r="H274" s="82">
        <f t="shared" si="2"/>
        <v>1931.87</v>
      </c>
      <c r="I274" s="82">
        <f t="shared" si="1"/>
        <v>0</v>
      </c>
    </row>
    <row r="275" ht="12.75" customHeight="1">
      <c r="A275" s="84">
        <v>45883.0</v>
      </c>
      <c r="B275" s="85" t="s">
        <v>531</v>
      </c>
      <c r="C275" s="82" t="s">
        <v>100</v>
      </c>
      <c r="D275" s="85" t="s">
        <v>149</v>
      </c>
      <c r="E275" s="85">
        <v>300.9</v>
      </c>
      <c r="G275" s="85">
        <v>1630.97</v>
      </c>
      <c r="H275" s="82">
        <f t="shared" si="2"/>
        <v>1630.97</v>
      </c>
      <c r="I275" s="82">
        <f t="shared" si="1"/>
        <v>0</v>
      </c>
    </row>
    <row r="276" ht="12.75" customHeight="1">
      <c r="A276" s="84">
        <v>45883.0</v>
      </c>
      <c r="B276" s="85" t="s">
        <v>532</v>
      </c>
      <c r="C276" s="82" t="s">
        <v>507</v>
      </c>
      <c r="D276" s="85" t="s">
        <v>533</v>
      </c>
      <c r="F276" s="85">
        <v>10620.0</v>
      </c>
      <c r="G276" s="85">
        <v>12250.97</v>
      </c>
      <c r="H276" s="82">
        <f t="shared" si="2"/>
        <v>12250.97</v>
      </c>
      <c r="I276" s="82">
        <f t="shared" si="1"/>
        <v>0</v>
      </c>
    </row>
    <row r="277" ht="12.75" customHeight="1">
      <c r="A277" s="84">
        <v>45883.0</v>
      </c>
      <c r="B277" s="85" t="s">
        <v>534</v>
      </c>
      <c r="C277" s="82" t="s">
        <v>98</v>
      </c>
      <c r="D277" s="85" t="s">
        <v>465</v>
      </c>
      <c r="E277" s="85">
        <v>6702.0</v>
      </c>
      <c r="G277" s="85">
        <v>5548.97</v>
      </c>
      <c r="H277" s="82">
        <f t="shared" si="2"/>
        <v>5548.97</v>
      </c>
      <c r="I277" s="82">
        <f t="shared" si="1"/>
        <v>0</v>
      </c>
    </row>
    <row r="278" ht="12.75" customHeight="1">
      <c r="A278" s="84">
        <v>45883.0</v>
      </c>
      <c r="B278" s="85" t="s">
        <v>535</v>
      </c>
      <c r="C278" s="82" t="s">
        <v>98</v>
      </c>
      <c r="D278" s="85" t="s">
        <v>177</v>
      </c>
      <c r="E278" s="85">
        <v>4000.0</v>
      </c>
      <c r="G278" s="85">
        <v>1548.97</v>
      </c>
      <c r="H278" s="82">
        <f t="shared" si="2"/>
        <v>1548.97</v>
      </c>
      <c r="I278" s="82">
        <f t="shared" si="1"/>
        <v>0</v>
      </c>
    </row>
    <row r="279" ht="12.75" customHeight="1">
      <c r="A279" s="84">
        <v>45883.0</v>
      </c>
      <c r="B279" s="85" t="s">
        <v>536</v>
      </c>
      <c r="C279" s="82" t="s">
        <v>537</v>
      </c>
      <c r="D279" s="85" t="s">
        <v>537</v>
      </c>
      <c r="F279" s="85">
        <v>19550.0</v>
      </c>
      <c r="G279" s="85">
        <v>21098.97</v>
      </c>
      <c r="H279" s="82">
        <f t="shared" si="2"/>
        <v>21098.97</v>
      </c>
      <c r="I279" s="82">
        <f t="shared" si="1"/>
        <v>0</v>
      </c>
    </row>
    <row r="280" ht="12.75" customHeight="1">
      <c r="A280" s="84">
        <v>45883.0</v>
      </c>
      <c r="B280" s="85" t="s">
        <v>538</v>
      </c>
      <c r="C280" s="82" t="s">
        <v>537</v>
      </c>
      <c r="D280" s="85" t="s">
        <v>537</v>
      </c>
      <c r="E280" s="85">
        <v>19560.0</v>
      </c>
      <c r="G280" s="85">
        <v>1538.97</v>
      </c>
      <c r="H280" s="82">
        <f t="shared" si="2"/>
        <v>1538.97</v>
      </c>
      <c r="I280" s="82">
        <f t="shared" si="1"/>
        <v>0</v>
      </c>
    </row>
    <row r="281" ht="12.75" customHeight="1">
      <c r="A281" s="84">
        <v>45883.0</v>
      </c>
      <c r="B281" s="85" t="s">
        <v>539</v>
      </c>
      <c r="C281" s="82" t="s">
        <v>537</v>
      </c>
      <c r="D281" s="85" t="s">
        <v>537</v>
      </c>
      <c r="F281" s="85">
        <v>5000.0</v>
      </c>
      <c r="G281" s="85">
        <v>6538.97</v>
      </c>
      <c r="H281" s="82">
        <f t="shared" si="2"/>
        <v>6538.97</v>
      </c>
      <c r="I281" s="82">
        <f t="shared" si="1"/>
        <v>0</v>
      </c>
    </row>
    <row r="282" ht="12.75" customHeight="1">
      <c r="A282" s="84">
        <v>45883.0</v>
      </c>
      <c r="B282" s="85" t="s">
        <v>540</v>
      </c>
      <c r="C282" s="82" t="s">
        <v>537</v>
      </c>
      <c r="D282" s="85" t="s">
        <v>537</v>
      </c>
      <c r="F282" s="85">
        <v>2000.0</v>
      </c>
      <c r="G282" s="85">
        <v>8538.97</v>
      </c>
      <c r="H282" s="82">
        <f t="shared" si="2"/>
        <v>8538.97</v>
      </c>
      <c r="I282" s="82">
        <f t="shared" si="1"/>
        <v>0</v>
      </c>
    </row>
    <row r="283" ht="12.75" customHeight="1">
      <c r="A283" s="84">
        <v>45883.0</v>
      </c>
      <c r="B283" s="85" t="s">
        <v>541</v>
      </c>
      <c r="C283" s="82" t="s">
        <v>537</v>
      </c>
      <c r="D283" s="85" t="s">
        <v>537</v>
      </c>
      <c r="E283" s="85">
        <v>7000.0</v>
      </c>
      <c r="G283" s="85">
        <v>1538.97</v>
      </c>
      <c r="H283" s="82">
        <f t="shared" si="2"/>
        <v>1538.97</v>
      </c>
      <c r="I283" s="82">
        <f t="shared" si="1"/>
        <v>0</v>
      </c>
    </row>
    <row r="284" ht="12.75" customHeight="1">
      <c r="A284" s="84">
        <v>45884.0</v>
      </c>
      <c r="B284" s="85" t="s">
        <v>542</v>
      </c>
      <c r="C284" s="82" t="s">
        <v>118</v>
      </c>
      <c r="E284" s="85">
        <v>1000.0</v>
      </c>
      <c r="G284" s="85">
        <v>538.97</v>
      </c>
      <c r="H284" s="82">
        <f t="shared" si="2"/>
        <v>538.97</v>
      </c>
      <c r="I284" s="82">
        <f t="shared" si="1"/>
        <v>0</v>
      </c>
    </row>
    <row r="285" ht="12.75" customHeight="1">
      <c r="A285" s="84">
        <v>45884.0</v>
      </c>
      <c r="B285" s="85" t="s">
        <v>543</v>
      </c>
      <c r="C285" s="85" t="s">
        <v>146</v>
      </c>
      <c r="D285" s="85" t="s">
        <v>147</v>
      </c>
      <c r="F285" s="85">
        <v>130283.0</v>
      </c>
      <c r="G285" s="85">
        <v>130821.97</v>
      </c>
      <c r="H285" s="82">
        <f t="shared" si="2"/>
        <v>130821.97</v>
      </c>
      <c r="I285" s="82">
        <f t="shared" si="1"/>
        <v>0</v>
      </c>
    </row>
    <row r="286" ht="12.75" customHeight="1">
      <c r="A286" s="84">
        <v>45884.0</v>
      </c>
      <c r="B286" s="85" t="s">
        <v>544</v>
      </c>
      <c r="C286" s="82" t="s">
        <v>98</v>
      </c>
      <c r="D286" s="85" t="s">
        <v>338</v>
      </c>
      <c r="E286" s="85">
        <v>8713.0</v>
      </c>
      <c r="G286" s="85">
        <v>122108.97</v>
      </c>
      <c r="H286" s="82">
        <f t="shared" si="2"/>
        <v>122108.97</v>
      </c>
      <c r="I286" s="82">
        <f t="shared" si="1"/>
        <v>0</v>
      </c>
    </row>
    <row r="287" ht="12.75" customHeight="1">
      <c r="A287" s="84">
        <v>45884.0</v>
      </c>
      <c r="B287" s="85" t="s">
        <v>545</v>
      </c>
      <c r="C287" s="82" t="s">
        <v>96</v>
      </c>
      <c r="D287" s="85" t="s">
        <v>181</v>
      </c>
      <c r="E287" s="85">
        <v>8713.0</v>
      </c>
      <c r="G287" s="85">
        <v>113395.97</v>
      </c>
      <c r="H287" s="82">
        <f t="shared" si="2"/>
        <v>113395.97</v>
      </c>
      <c r="I287" s="82">
        <f t="shared" si="1"/>
        <v>0</v>
      </c>
    </row>
    <row r="288" ht="12.75" customHeight="1">
      <c r="A288" s="84">
        <v>45884.0</v>
      </c>
      <c r="B288" s="85" t="s">
        <v>546</v>
      </c>
      <c r="C288" s="82" t="s">
        <v>98</v>
      </c>
      <c r="D288" s="85" t="s">
        <v>192</v>
      </c>
      <c r="E288" s="85">
        <v>4895.0</v>
      </c>
      <c r="G288" s="85">
        <v>108500.97</v>
      </c>
      <c r="H288" s="82">
        <f t="shared" si="2"/>
        <v>108500.97</v>
      </c>
      <c r="I288" s="82">
        <f t="shared" si="1"/>
        <v>0</v>
      </c>
    </row>
    <row r="289" ht="12.75" customHeight="1">
      <c r="A289" s="84">
        <v>45884.0</v>
      </c>
      <c r="B289" s="85" t="s">
        <v>547</v>
      </c>
      <c r="C289" s="82" t="s">
        <v>98</v>
      </c>
      <c r="D289" s="85" t="s">
        <v>333</v>
      </c>
      <c r="E289" s="85">
        <v>9200.0</v>
      </c>
      <c r="G289" s="85">
        <v>99300.97</v>
      </c>
      <c r="H289" s="82">
        <f t="shared" si="2"/>
        <v>99300.97</v>
      </c>
      <c r="I289" s="82">
        <f t="shared" si="1"/>
        <v>0</v>
      </c>
    </row>
    <row r="290" ht="12.75" customHeight="1">
      <c r="A290" s="84">
        <v>45884.0</v>
      </c>
      <c r="B290" s="85" t="s">
        <v>548</v>
      </c>
      <c r="C290" s="82" t="s">
        <v>98</v>
      </c>
      <c r="D290" s="85" t="s">
        <v>183</v>
      </c>
      <c r="E290" s="85">
        <v>7000.0</v>
      </c>
      <c r="G290" s="85">
        <v>92300.97</v>
      </c>
      <c r="H290" s="82">
        <f t="shared" si="2"/>
        <v>92300.97</v>
      </c>
      <c r="I290" s="82">
        <f t="shared" si="1"/>
        <v>0</v>
      </c>
    </row>
    <row r="291" ht="12.75" customHeight="1">
      <c r="A291" s="84">
        <v>45884.0</v>
      </c>
      <c r="B291" s="85" t="s">
        <v>549</v>
      </c>
      <c r="C291" s="82" t="s">
        <v>88</v>
      </c>
      <c r="D291" s="82" t="s">
        <v>205</v>
      </c>
      <c r="E291" s="85">
        <v>1712.72</v>
      </c>
      <c r="G291" s="85">
        <v>90588.25</v>
      </c>
      <c r="H291" s="82">
        <f t="shared" si="2"/>
        <v>90588.25</v>
      </c>
      <c r="I291" s="82">
        <f t="shared" si="1"/>
        <v>0</v>
      </c>
    </row>
    <row r="292" ht="12.75" customHeight="1">
      <c r="A292" s="84">
        <v>45884.0</v>
      </c>
      <c r="B292" s="85" t="s">
        <v>550</v>
      </c>
      <c r="C292" s="82" t="s">
        <v>96</v>
      </c>
      <c r="D292" s="85" t="s">
        <v>175</v>
      </c>
      <c r="E292" s="85">
        <v>31879.0</v>
      </c>
      <c r="G292" s="85">
        <v>58709.25</v>
      </c>
      <c r="H292" s="82">
        <f t="shared" si="2"/>
        <v>58709.25</v>
      </c>
      <c r="I292" s="82">
        <f t="shared" si="1"/>
        <v>0</v>
      </c>
    </row>
    <row r="293" ht="12.75" customHeight="1">
      <c r="A293" s="84">
        <v>45884.0</v>
      </c>
      <c r="B293" s="85" t="s">
        <v>551</v>
      </c>
      <c r="C293" s="82" t="s">
        <v>88</v>
      </c>
      <c r="D293" s="82" t="s">
        <v>205</v>
      </c>
      <c r="E293" s="85">
        <v>1650.82</v>
      </c>
      <c r="G293" s="85">
        <v>57058.43</v>
      </c>
      <c r="H293" s="82">
        <f t="shared" si="2"/>
        <v>57058.43</v>
      </c>
      <c r="I293" s="82">
        <f t="shared" si="1"/>
        <v>0</v>
      </c>
    </row>
    <row r="294" ht="12.75" customHeight="1">
      <c r="A294" s="84">
        <v>45884.0</v>
      </c>
      <c r="B294" s="85" t="s">
        <v>552</v>
      </c>
      <c r="C294" s="82" t="s">
        <v>98</v>
      </c>
      <c r="D294" s="82" t="s">
        <v>335</v>
      </c>
      <c r="E294" s="85">
        <v>4480.0</v>
      </c>
      <c r="G294" s="85">
        <v>52578.43</v>
      </c>
      <c r="H294" s="82">
        <f t="shared" si="2"/>
        <v>52578.43</v>
      </c>
      <c r="I294" s="82">
        <f t="shared" si="1"/>
        <v>0</v>
      </c>
    </row>
    <row r="295" ht="12.75" customHeight="1">
      <c r="A295" s="84">
        <v>45884.0</v>
      </c>
      <c r="B295" s="85" t="s">
        <v>553</v>
      </c>
      <c r="C295" s="82" t="s">
        <v>98</v>
      </c>
      <c r="D295" s="82" t="s">
        <v>226</v>
      </c>
      <c r="E295" s="85">
        <v>2400.0</v>
      </c>
      <c r="G295" s="85">
        <v>50178.43</v>
      </c>
      <c r="H295" s="82">
        <f t="shared" si="2"/>
        <v>50178.43</v>
      </c>
      <c r="I295" s="82">
        <f t="shared" si="1"/>
        <v>0</v>
      </c>
    </row>
    <row r="296" ht="12.75" customHeight="1">
      <c r="A296" s="84">
        <v>45884.0</v>
      </c>
      <c r="B296" s="85" t="s">
        <v>554</v>
      </c>
      <c r="C296" s="82" t="s">
        <v>86</v>
      </c>
      <c r="D296" s="82" t="s">
        <v>288</v>
      </c>
      <c r="E296" s="85">
        <v>30653.0</v>
      </c>
      <c r="G296" s="85">
        <v>19525.43</v>
      </c>
      <c r="H296" s="82">
        <f t="shared" si="2"/>
        <v>19525.43</v>
      </c>
      <c r="I296" s="82">
        <f t="shared" si="1"/>
        <v>0</v>
      </c>
    </row>
    <row r="297" ht="12.75" customHeight="1">
      <c r="A297" s="84">
        <v>45885.0</v>
      </c>
      <c r="B297" s="85" t="s">
        <v>555</v>
      </c>
      <c r="C297" s="82" t="s">
        <v>118</v>
      </c>
      <c r="E297" s="85">
        <v>1000.0</v>
      </c>
      <c r="G297" s="85">
        <v>18525.43</v>
      </c>
      <c r="H297" s="82">
        <f t="shared" si="2"/>
        <v>18525.43</v>
      </c>
      <c r="I297" s="82">
        <f t="shared" si="1"/>
        <v>0</v>
      </c>
    </row>
    <row r="298" ht="12.75" customHeight="1">
      <c r="A298" s="84">
        <v>45885.0</v>
      </c>
      <c r="B298" s="85" t="s">
        <v>556</v>
      </c>
      <c r="C298" s="82" t="s">
        <v>118</v>
      </c>
      <c r="E298" s="85">
        <v>1000.0</v>
      </c>
      <c r="G298" s="85">
        <v>17525.43</v>
      </c>
      <c r="H298" s="82">
        <f t="shared" si="2"/>
        <v>17525.43</v>
      </c>
      <c r="I298" s="82">
        <f t="shared" si="1"/>
        <v>0</v>
      </c>
    </row>
    <row r="299" ht="12.75" customHeight="1">
      <c r="A299" s="84">
        <v>45885.0</v>
      </c>
      <c r="B299" s="85" t="s">
        <v>557</v>
      </c>
      <c r="C299" s="82" t="s">
        <v>507</v>
      </c>
      <c r="D299" s="82" t="s">
        <v>110</v>
      </c>
      <c r="F299" s="85">
        <v>7186.6</v>
      </c>
      <c r="G299" s="85">
        <v>24712.03</v>
      </c>
      <c r="H299" s="82">
        <f t="shared" si="2"/>
        <v>24712.03</v>
      </c>
      <c r="I299" s="82">
        <f t="shared" si="1"/>
        <v>0</v>
      </c>
    </row>
    <row r="300" ht="12.75" customHeight="1">
      <c r="A300" s="84">
        <v>45885.0</v>
      </c>
      <c r="B300" s="85" t="s">
        <v>558</v>
      </c>
      <c r="C300" s="82" t="s">
        <v>88</v>
      </c>
      <c r="D300" s="82" t="s">
        <v>153</v>
      </c>
      <c r="E300" s="85">
        <v>649.0</v>
      </c>
      <c r="G300" s="85">
        <v>24063.03</v>
      </c>
      <c r="H300" s="82">
        <f t="shared" si="2"/>
        <v>24063.03</v>
      </c>
      <c r="I300" s="82">
        <f t="shared" si="1"/>
        <v>0</v>
      </c>
    </row>
    <row r="301" ht="12.75" customHeight="1">
      <c r="A301" s="84">
        <v>45885.0</v>
      </c>
      <c r="B301" s="85" t="s">
        <v>559</v>
      </c>
      <c r="C301" s="82" t="s">
        <v>87</v>
      </c>
      <c r="D301" s="82" t="s">
        <v>155</v>
      </c>
      <c r="E301" s="85">
        <v>1350.0</v>
      </c>
      <c r="G301" s="85">
        <v>22713.03</v>
      </c>
      <c r="H301" s="82">
        <f t="shared" si="2"/>
        <v>22713.03</v>
      </c>
      <c r="I301" s="82">
        <f t="shared" si="1"/>
        <v>0</v>
      </c>
    </row>
    <row r="302" ht="12.75" customHeight="1">
      <c r="A302" s="84">
        <v>45885.0</v>
      </c>
      <c r="B302" s="85" t="s">
        <v>560</v>
      </c>
      <c r="C302" s="82" t="s">
        <v>507</v>
      </c>
      <c r="D302" s="82" t="s">
        <v>110</v>
      </c>
      <c r="F302" s="85">
        <v>6318.95</v>
      </c>
      <c r="G302" s="85">
        <v>29031.98</v>
      </c>
      <c r="H302" s="82">
        <f t="shared" si="2"/>
        <v>29031.98</v>
      </c>
      <c r="I302" s="82">
        <f t="shared" si="1"/>
        <v>0</v>
      </c>
    </row>
    <row r="303" ht="12.75" customHeight="1">
      <c r="A303" s="84">
        <v>45887.0</v>
      </c>
      <c r="B303" s="85" t="s">
        <v>561</v>
      </c>
      <c r="C303" s="82" t="s">
        <v>85</v>
      </c>
      <c r="D303" s="82" t="s">
        <v>151</v>
      </c>
      <c r="E303" s="85">
        <v>24769.0</v>
      </c>
      <c r="G303" s="85">
        <v>4262.98</v>
      </c>
      <c r="H303" s="82">
        <f t="shared" si="2"/>
        <v>4262.98</v>
      </c>
      <c r="I303" s="82">
        <f t="shared" si="1"/>
        <v>0</v>
      </c>
    </row>
    <row r="304" ht="12.75" customHeight="1">
      <c r="A304" s="84">
        <v>45887.0</v>
      </c>
      <c r="B304" s="85" t="s">
        <v>562</v>
      </c>
      <c r="C304" s="82" t="s">
        <v>100</v>
      </c>
      <c r="D304" s="82" t="s">
        <v>149</v>
      </c>
      <c r="E304" s="85">
        <v>236.0</v>
      </c>
      <c r="G304" s="85">
        <v>4026.98</v>
      </c>
      <c r="H304" s="82">
        <f t="shared" si="2"/>
        <v>4026.98</v>
      </c>
      <c r="I304" s="82">
        <f t="shared" si="1"/>
        <v>0</v>
      </c>
    </row>
    <row r="305" ht="12.75" customHeight="1">
      <c r="A305" s="84">
        <v>45887.0</v>
      </c>
      <c r="B305" s="85" t="s">
        <v>563</v>
      </c>
      <c r="C305" s="82" t="s">
        <v>100</v>
      </c>
      <c r="D305" s="82" t="s">
        <v>149</v>
      </c>
      <c r="E305" s="85">
        <v>180.9</v>
      </c>
      <c r="G305" s="85">
        <v>3846.08</v>
      </c>
      <c r="H305" s="82">
        <f t="shared" si="2"/>
        <v>3846.08</v>
      </c>
      <c r="I305" s="82">
        <f t="shared" si="1"/>
        <v>0</v>
      </c>
    </row>
    <row r="306" ht="12.75" customHeight="1">
      <c r="A306" s="84">
        <v>45887.0</v>
      </c>
      <c r="B306" s="85" t="s">
        <v>564</v>
      </c>
      <c r="C306" s="82" t="s">
        <v>118</v>
      </c>
      <c r="E306" s="85">
        <v>3800.0</v>
      </c>
      <c r="G306" s="85">
        <v>46.08</v>
      </c>
      <c r="H306" s="82">
        <f t="shared" si="2"/>
        <v>46.08</v>
      </c>
      <c r="I306" s="82">
        <f t="shared" si="1"/>
        <v>0</v>
      </c>
    </row>
    <row r="307" ht="12.75" customHeight="1">
      <c r="A307" s="84">
        <v>45888.0</v>
      </c>
      <c r="B307" s="85" t="s">
        <v>565</v>
      </c>
      <c r="C307" s="82" t="s">
        <v>507</v>
      </c>
      <c r="D307" s="82" t="s">
        <v>109</v>
      </c>
      <c r="F307" s="85">
        <v>7160.18</v>
      </c>
      <c r="G307" s="85">
        <v>7206.26</v>
      </c>
      <c r="H307" s="82">
        <f t="shared" si="2"/>
        <v>7206.26</v>
      </c>
      <c r="I307" s="82">
        <f t="shared" si="1"/>
        <v>0</v>
      </c>
    </row>
    <row r="308" ht="12.75" customHeight="1">
      <c r="A308" s="84">
        <v>45888.0</v>
      </c>
      <c r="B308" s="85" t="s">
        <v>566</v>
      </c>
      <c r="C308" s="82" t="s">
        <v>98</v>
      </c>
      <c r="D308" s="82" t="s">
        <v>192</v>
      </c>
      <c r="E308" s="85">
        <v>2000.0</v>
      </c>
      <c r="G308" s="85">
        <v>5206.26</v>
      </c>
      <c r="H308" s="82">
        <f t="shared" si="2"/>
        <v>5206.26</v>
      </c>
      <c r="I308" s="82">
        <f t="shared" si="1"/>
        <v>0</v>
      </c>
    </row>
    <row r="309" ht="12.75" customHeight="1">
      <c r="A309" s="84">
        <v>45889.0</v>
      </c>
      <c r="B309" s="85" t="s">
        <v>567</v>
      </c>
      <c r="C309" s="83" t="s">
        <v>92</v>
      </c>
      <c r="D309" s="83" t="s">
        <v>236</v>
      </c>
      <c r="E309" s="85">
        <v>3308.0</v>
      </c>
      <c r="G309" s="85">
        <v>1898.26</v>
      </c>
      <c r="H309" s="82">
        <f t="shared" si="2"/>
        <v>1898.26</v>
      </c>
      <c r="I309" s="82">
        <f t="shared" si="1"/>
        <v>0</v>
      </c>
    </row>
    <row r="310" ht="12.75" customHeight="1">
      <c r="A310" s="84">
        <v>45890.0</v>
      </c>
      <c r="B310" s="85" t="s">
        <v>568</v>
      </c>
      <c r="C310" s="82" t="s">
        <v>118</v>
      </c>
      <c r="E310" s="85">
        <v>1000.0</v>
      </c>
      <c r="G310" s="85">
        <v>898.26</v>
      </c>
      <c r="H310" s="82">
        <f t="shared" si="2"/>
        <v>898.26</v>
      </c>
      <c r="I310" s="82">
        <f t="shared" si="1"/>
        <v>0</v>
      </c>
    </row>
    <row r="311" ht="12.75" customHeight="1">
      <c r="A311" s="84">
        <v>45891.0</v>
      </c>
      <c r="B311" s="85" t="s">
        <v>569</v>
      </c>
      <c r="C311" s="82" t="s">
        <v>118</v>
      </c>
      <c r="E311" s="85">
        <v>600.0</v>
      </c>
      <c r="G311" s="85">
        <v>298.26</v>
      </c>
      <c r="H311" s="82">
        <f t="shared" si="2"/>
        <v>298.26</v>
      </c>
      <c r="I311" s="82">
        <f t="shared" si="1"/>
        <v>0</v>
      </c>
    </row>
    <row r="312" ht="12.75" customHeight="1">
      <c r="A312" s="84">
        <v>45891.0</v>
      </c>
      <c r="B312" s="85" t="s">
        <v>570</v>
      </c>
      <c r="C312" s="82" t="s">
        <v>173</v>
      </c>
      <c r="D312" s="85" t="s">
        <v>109</v>
      </c>
      <c r="F312" s="85">
        <v>3547.33</v>
      </c>
      <c r="G312" s="85">
        <v>3845.59</v>
      </c>
      <c r="H312" s="82">
        <f t="shared" si="2"/>
        <v>3845.59</v>
      </c>
      <c r="I312" s="82">
        <f t="shared" si="1"/>
        <v>0</v>
      </c>
    </row>
    <row r="313" ht="12.75" customHeight="1">
      <c r="A313" s="84">
        <v>45891.0</v>
      </c>
      <c r="B313" s="85" t="s">
        <v>571</v>
      </c>
      <c r="C313" s="82" t="s">
        <v>173</v>
      </c>
      <c r="D313" s="85" t="s">
        <v>110</v>
      </c>
      <c r="F313" s="85">
        <v>6318.52</v>
      </c>
      <c r="G313" s="85">
        <v>10164.11</v>
      </c>
      <c r="H313" s="82">
        <f t="shared" si="2"/>
        <v>10164.11</v>
      </c>
      <c r="I313" s="82">
        <f t="shared" si="1"/>
        <v>0</v>
      </c>
    </row>
    <row r="314" ht="12.75" customHeight="1">
      <c r="A314" s="84">
        <v>45891.0</v>
      </c>
      <c r="B314" s="85" t="s">
        <v>572</v>
      </c>
      <c r="C314" s="82" t="s">
        <v>118</v>
      </c>
      <c r="E314" s="85">
        <v>1000.0</v>
      </c>
      <c r="G314" s="85">
        <v>9164.11</v>
      </c>
      <c r="H314" s="82">
        <f t="shared" si="2"/>
        <v>9164.11</v>
      </c>
      <c r="I314" s="82">
        <f t="shared" si="1"/>
        <v>0</v>
      </c>
    </row>
    <row r="315" ht="12.75" customHeight="1">
      <c r="A315" s="84">
        <v>45891.0</v>
      </c>
      <c r="B315" s="85" t="s">
        <v>573</v>
      </c>
      <c r="C315" s="82" t="s">
        <v>97</v>
      </c>
      <c r="D315" s="85" t="s">
        <v>427</v>
      </c>
      <c r="E315" s="85">
        <v>1699.0</v>
      </c>
      <c r="G315" s="85">
        <v>7465.11</v>
      </c>
      <c r="H315" s="82">
        <f t="shared" si="2"/>
        <v>7465.11</v>
      </c>
      <c r="I315" s="82">
        <f t="shared" si="1"/>
        <v>0</v>
      </c>
    </row>
    <row r="316" ht="12.75" customHeight="1">
      <c r="A316" s="84">
        <v>45892.0</v>
      </c>
      <c r="B316" s="85" t="s">
        <v>574</v>
      </c>
      <c r="C316" s="82" t="s">
        <v>118</v>
      </c>
      <c r="E316" s="85">
        <v>5500.0</v>
      </c>
      <c r="G316" s="85">
        <v>1965.11</v>
      </c>
      <c r="H316" s="82">
        <f t="shared" si="2"/>
        <v>1965.11</v>
      </c>
      <c r="I316" s="82">
        <f t="shared" si="1"/>
        <v>0</v>
      </c>
    </row>
    <row r="317" ht="12.75" customHeight="1">
      <c r="A317" s="84">
        <v>45893.0</v>
      </c>
      <c r="B317" s="85" t="s">
        <v>575</v>
      </c>
      <c r="C317" s="82" t="s">
        <v>118</v>
      </c>
      <c r="E317" s="85">
        <v>1500.0</v>
      </c>
      <c r="G317" s="85">
        <v>465.11</v>
      </c>
      <c r="H317" s="82">
        <f t="shared" si="2"/>
        <v>465.11</v>
      </c>
      <c r="I317" s="82">
        <f t="shared" si="1"/>
        <v>0</v>
      </c>
    </row>
    <row r="318" ht="12.75" customHeight="1">
      <c r="A318" s="84">
        <v>45893.0</v>
      </c>
      <c r="B318" s="85" t="s">
        <v>576</v>
      </c>
      <c r="C318" s="82" t="s">
        <v>118</v>
      </c>
      <c r="F318" s="85">
        <v>300.0</v>
      </c>
      <c r="G318" s="85">
        <v>765.11</v>
      </c>
      <c r="H318" s="82">
        <f t="shared" si="2"/>
        <v>765.11</v>
      </c>
      <c r="I318" s="82">
        <f t="shared" si="1"/>
        <v>0</v>
      </c>
    </row>
    <row r="319" ht="12.75" customHeight="1">
      <c r="A319" s="84">
        <v>45893.0</v>
      </c>
      <c r="B319" s="85" t="s">
        <v>577</v>
      </c>
      <c r="C319" s="82" t="s">
        <v>108</v>
      </c>
      <c r="D319" s="85" t="s">
        <v>578</v>
      </c>
      <c r="E319" s="85">
        <v>750.0</v>
      </c>
      <c r="G319" s="85">
        <v>15.11</v>
      </c>
      <c r="H319" s="82">
        <f t="shared" si="2"/>
        <v>15.11</v>
      </c>
      <c r="I319" s="82">
        <f t="shared" si="1"/>
        <v>0</v>
      </c>
    </row>
    <row r="320" ht="12.75" customHeight="1">
      <c r="A320" s="84">
        <v>45895.0</v>
      </c>
      <c r="B320" s="85" t="s">
        <v>579</v>
      </c>
      <c r="C320" s="82" t="s">
        <v>507</v>
      </c>
      <c r="D320" s="85" t="s">
        <v>580</v>
      </c>
      <c r="F320" s="85">
        <v>45000.0</v>
      </c>
      <c r="G320" s="85">
        <v>45015.11</v>
      </c>
      <c r="H320" s="82">
        <f t="shared" si="2"/>
        <v>45015.11</v>
      </c>
      <c r="I320" s="82">
        <f t="shared" si="1"/>
        <v>0</v>
      </c>
    </row>
    <row r="321" ht="12.75" customHeight="1">
      <c r="A321" s="84">
        <v>45895.0</v>
      </c>
      <c r="B321" s="85" t="s">
        <v>581</v>
      </c>
      <c r="C321" s="82" t="s">
        <v>108</v>
      </c>
      <c r="D321" s="85" t="s">
        <v>181</v>
      </c>
      <c r="E321" s="85">
        <v>500.0</v>
      </c>
      <c r="G321" s="85">
        <v>44515.11</v>
      </c>
      <c r="H321" s="82">
        <f t="shared" si="2"/>
        <v>44515.11</v>
      </c>
      <c r="I321" s="82">
        <f t="shared" si="1"/>
        <v>0</v>
      </c>
    </row>
    <row r="322" ht="12.75" customHeight="1">
      <c r="A322" s="84">
        <v>45895.0</v>
      </c>
      <c r="B322" s="85" t="s">
        <v>582</v>
      </c>
      <c r="C322" s="82" t="s">
        <v>121</v>
      </c>
      <c r="D322" s="85" t="s">
        <v>583</v>
      </c>
      <c r="E322" s="85">
        <v>3200.0</v>
      </c>
      <c r="G322" s="85">
        <v>41315.11</v>
      </c>
      <c r="H322" s="82">
        <f t="shared" si="2"/>
        <v>41315.11</v>
      </c>
      <c r="I322" s="82">
        <f t="shared" si="1"/>
        <v>0</v>
      </c>
    </row>
    <row r="323" ht="12.75" customHeight="1">
      <c r="A323" s="84">
        <v>45895.0</v>
      </c>
      <c r="B323" s="85" t="s">
        <v>584</v>
      </c>
      <c r="C323" s="82" t="s">
        <v>118</v>
      </c>
      <c r="E323" s="85">
        <v>500.0</v>
      </c>
      <c r="G323" s="85">
        <v>40815.11</v>
      </c>
      <c r="H323" s="82">
        <f t="shared" si="2"/>
        <v>40815.11</v>
      </c>
      <c r="I323" s="82">
        <f t="shared" si="1"/>
        <v>0</v>
      </c>
    </row>
    <row r="324" ht="12.75" customHeight="1">
      <c r="A324" s="84">
        <v>45896.0</v>
      </c>
      <c r="B324" s="85" t="s">
        <v>585</v>
      </c>
      <c r="C324" s="82" t="s">
        <v>90</v>
      </c>
      <c r="D324" s="85" t="s">
        <v>586</v>
      </c>
      <c r="E324" s="85">
        <v>600.0</v>
      </c>
      <c r="G324" s="85">
        <v>40215.11</v>
      </c>
      <c r="H324" s="82">
        <f t="shared" si="2"/>
        <v>40215.11</v>
      </c>
      <c r="I324" s="82">
        <f t="shared" si="1"/>
        <v>0</v>
      </c>
    </row>
    <row r="325" ht="12.75" customHeight="1">
      <c r="A325" s="84">
        <v>45896.0</v>
      </c>
      <c r="B325" s="85" t="s">
        <v>587</v>
      </c>
      <c r="C325" s="82" t="s">
        <v>118</v>
      </c>
      <c r="E325" s="85">
        <v>320.0</v>
      </c>
      <c r="G325" s="85">
        <v>39895.11</v>
      </c>
      <c r="H325" s="82">
        <f t="shared" si="2"/>
        <v>39895.11</v>
      </c>
      <c r="I325" s="82">
        <f t="shared" si="1"/>
        <v>0</v>
      </c>
    </row>
    <row r="326" ht="12.75" customHeight="1">
      <c r="A326" s="84">
        <v>45896.0</v>
      </c>
      <c r="B326" s="85" t="s">
        <v>588</v>
      </c>
      <c r="C326" s="82" t="s">
        <v>118</v>
      </c>
      <c r="E326" s="85">
        <v>70.0</v>
      </c>
      <c r="G326" s="85">
        <v>39825.11</v>
      </c>
      <c r="H326" s="82">
        <f t="shared" si="2"/>
        <v>39825.11</v>
      </c>
      <c r="I326" s="82">
        <f t="shared" si="1"/>
        <v>0</v>
      </c>
    </row>
    <row r="327" ht="12.75" customHeight="1">
      <c r="A327" s="84">
        <v>45896.0</v>
      </c>
      <c r="B327" s="85" t="s">
        <v>589</v>
      </c>
      <c r="C327" s="82" t="s">
        <v>118</v>
      </c>
      <c r="E327" s="85">
        <v>150.0</v>
      </c>
      <c r="G327" s="85">
        <v>39675.11</v>
      </c>
      <c r="H327" s="82">
        <f t="shared" si="2"/>
        <v>39675.11</v>
      </c>
      <c r="I327" s="82">
        <f t="shared" si="1"/>
        <v>0</v>
      </c>
    </row>
    <row r="328" ht="12.75" customHeight="1">
      <c r="A328" s="84">
        <v>45896.0</v>
      </c>
      <c r="B328" s="85" t="s">
        <v>590</v>
      </c>
      <c r="C328" s="82" t="s">
        <v>118</v>
      </c>
      <c r="E328" s="85">
        <v>60.0</v>
      </c>
      <c r="G328" s="85">
        <v>39615.11</v>
      </c>
      <c r="H328" s="82">
        <f t="shared" si="2"/>
        <v>39615.11</v>
      </c>
      <c r="I328" s="82">
        <f t="shared" si="1"/>
        <v>0</v>
      </c>
    </row>
    <row r="329" ht="12.75" customHeight="1">
      <c r="A329" s="84">
        <v>45896.0</v>
      </c>
      <c r="B329" s="85" t="s">
        <v>591</v>
      </c>
      <c r="C329" s="82" t="s">
        <v>94</v>
      </c>
      <c r="D329" s="82" t="s">
        <v>158</v>
      </c>
      <c r="E329" s="85">
        <v>1003.0</v>
      </c>
      <c r="G329" s="85">
        <v>38612.11</v>
      </c>
      <c r="H329" s="82">
        <f t="shared" si="2"/>
        <v>38612.11</v>
      </c>
      <c r="I329" s="82">
        <f t="shared" si="1"/>
        <v>0</v>
      </c>
    </row>
    <row r="330" ht="12.75" customHeight="1">
      <c r="A330" s="84">
        <v>45896.0</v>
      </c>
      <c r="B330" s="85" t="s">
        <v>592</v>
      </c>
      <c r="C330" s="82" t="s">
        <v>100</v>
      </c>
      <c r="D330" s="85" t="s">
        <v>149</v>
      </c>
      <c r="E330" s="85">
        <v>300.9</v>
      </c>
      <c r="G330" s="85">
        <v>38311.21</v>
      </c>
      <c r="H330" s="82">
        <f t="shared" si="2"/>
        <v>38311.21</v>
      </c>
      <c r="I330" s="82">
        <f t="shared" si="1"/>
        <v>0</v>
      </c>
    </row>
    <row r="331" ht="12.75" customHeight="1">
      <c r="A331" s="84">
        <v>45896.0</v>
      </c>
      <c r="B331" s="85" t="s">
        <v>593</v>
      </c>
      <c r="C331" s="82" t="s">
        <v>114</v>
      </c>
      <c r="D331" s="82" t="s">
        <v>375</v>
      </c>
      <c r="E331" s="85">
        <v>2000.0</v>
      </c>
      <c r="G331" s="85">
        <v>36311.21</v>
      </c>
      <c r="H331" s="82">
        <f t="shared" si="2"/>
        <v>36311.21</v>
      </c>
      <c r="I331" s="82">
        <f t="shared" si="1"/>
        <v>0</v>
      </c>
    </row>
    <row r="332" ht="12.75" customHeight="1">
      <c r="A332" s="84">
        <v>45896.0</v>
      </c>
      <c r="B332" s="85" t="s">
        <v>594</v>
      </c>
      <c r="C332" s="82" t="s">
        <v>120</v>
      </c>
      <c r="D332" s="82" t="s">
        <v>197</v>
      </c>
      <c r="E332" s="85">
        <v>18000.0</v>
      </c>
      <c r="G332" s="85">
        <v>18311.21</v>
      </c>
      <c r="H332" s="82">
        <f t="shared" si="2"/>
        <v>18311.21</v>
      </c>
      <c r="I332" s="82">
        <f t="shared" si="1"/>
        <v>0</v>
      </c>
    </row>
    <row r="333" ht="12.75" customHeight="1">
      <c r="A333" s="84">
        <v>45898.0</v>
      </c>
      <c r="B333" s="85" t="s">
        <v>595</v>
      </c>
      <c r="C333" s="82" t="s">
        <v>94</v>
      </c>
      <c r="D333" s="82" t="s">
        <v>158</v>
      </c>
      <c r="E333" s="85">
        <v>1003.0</v>
      </c>
      <c r="G333" s="85">
        <v>17308.21</v>
      </c>
      <c r="H333" s="82">
        <f t="shared" si="2"/>
        <v>17308.21</v>
      </c>
      <c r="I333" s="82">
        <f t="shared" si="1"/>
        <v>0</v>
      </c>
    </row>
    <row r="334" ht="12.75" customHeight="1">
      <c r="A334" s="84">
        <v>45898.0</v>
      </c>
      <c r="B334" s="85" t="s">
        <v>596</v>
      </c>
      <c r="C334" s="82" t="s">
        <v>100</v>
      </c>
      <c r="D334" s="85" t="s">
        <v>149</v>
      </c>
      <c r="E334" s="85">
        <v>300.9</v>
      </c>
      <c r="G334" s="85">
        <v>17007.31</v>
      </c>
      <c r="H334" s="82">
        <f t="shared" si="2"/>
        <v>17007.31</v>
      </c>
      <c r="I334" s="82">
        <f t="shared" si="1"/>
        <v>0</v>
      </c>
    </row>
    <row r="335" ht="12.75" customHeight="1">
      <c r="A335" s="84">
        <v>45898.0</v>
      </c>
      <c r="B335" s="85" t="s">
        <v>597</v>
      </c>
      <c r="C335" s="82" t="s">
        <v>118</v>
      </c>
      <c r="E335" s="85">
        <v>1500.0</v>
      </c>
      <c r="G335" s="85">
        <v>15507.31</v>
      </c>
      <c r="H335" s="82">
        <f t="shared" si="2"/>
        <v>15507.31</v>
      </c>
      <c r="I335" s="82">
        <f t="shared" si="1"/>
        <v>0</v>
      </c>
    </row>
    <row r="336" ht="12.75" customHeight="1">
      <c r="A336" s="84">
        <v>45898.0</v>
      </c>
      <c r="B336" s="85" t="s">
        <v>598</v>
      </c>
      <c r="C336" s="82" t="s">
        <v>87</v>
      </c>
      <c r="D336" s="82" t="s">
        <v>155</v>
      </c>
      <c r="E336" s="85">
        <v>1350.0</v>
      </c>
      <c r="G336" s="85">
        <v>14157.31</v>
      </c>
      <c r="H336" s="82">
        <f t="shared" si="2"/>
        <v>14157.31</v>
      </c>
      <c r="I336" s="82">
        <f t="shared" si="1"/>
        <v>0</v>
      </c>
    </row>
    <row r="337" ht="12.75" customHeight="1">
      <c r="A337" s="84">
        <v>45899.0</v>
      </c>
      <c r="B337" s="85" t="s">
        <v>599</v>
      </c>
      <c r="C337" s="82" t="s">
        <v>87</v>
      </c>
      <c r="D337" s="82" t="s">
        <v>171</v>
      </c>
      <c r="E337" s="85">
        <v>870.0</v>
      </c>
      <c r="G337" s="85">
        <v>13287.31</v>
      </c>
      <c r="H337" s="82">
        <f t="shared" si="2"/>
        <v>13287.31</v>
      </c>
      <c r="I337" s="82">
        <f t="shared" si="1"/>
        <v>0</v>
      </c>
    </row>
    <row r="338" ht="12.75" customHeight="1">
      <c r="A338" s="84">
        <v>45901.0</v>
      </c>
      <c r="B338" s="85" t="s">
        <v>600</v>
      </c>
      <c r="C338" s="82" t="s">
        <v>537</v>
      </c>
      <c r="D338" s="82" t="s">
        <v>537</v>
      </c>
      <c r="E338" s="85">
        <v>2.0</v>
      </c>
      <c r="G338" s="85">
        <v>13285.31</v>
      </c>
      <c r="H338" s="82">
        <f t="shared" si="2"/>
        <v>13285.31</v>
      </c>
      <c r="I338" s="82">
        <f t="shared" si="1"/>
        <v>0</v>
      </c>
    </row>
    <row r="339" ht="12.75" customHeight="1">
      <c r="A339" s="84">
        <v>45901.0</v>
      </c>
      <c r="B339" s="85" t="s">
        <v>601</v>
      </c>
      <c r="C339" s="82" t="s">
        <v>537</v>
      </c>
      <c r="D339" s="82" t="s">
        <v>537</v>
      </c>
      <c r="F339" s="85">
        <v>2.0</v>
      </c>
      <c r="G339" s="85">
        <v>13287.31</v>
      </c>
      <c r="H339" s="82">
        <f t="shared" si="2"/>
        <v>13287.31</v>
      </c>
      <c r="I339" s="82">
        <f t="shared" si="1"/>
        <v>0</v>
      </c>
    </row>
    <row r="340" ht="12.75" customHeight="1">
      <c r="A340" s="84">
        <v>45901.0</v>
      </c>
      <c r="B340" s="85" t="s">
        <v>602</v>
      </c>
      <c r="C340" s="82" t="s">
        <v>125</v>
      </c>
      <c r="D340" s="82" t="s">
        <v>603</v>
      </c>
      <c r="E340" s="85">
        <v>89.0</v>
      </c>
      <c r="G340" s="85">
        <v>13198.31</v>
      </c>
      <c r="H340" s="82">
        <f t="shared" si="2"/>
        <v>13198.31</v>
      </c>
      <c r="I340" s="82">
        <f t="shared" si="1"/>
        <v>0</v>
      </c>
    </row>
    <row r="341" ht="12.75" customHeight="1">
      <c r="A341" s="84">
        <v>45902.0</v>
      </c>
      <c r="B341" s="85" t="s">
        <v>604</v>
      </c>
      <c r="C341" s="82" t="s">
        <v>118</v>
      </c>
      <c r="E341" s="85">
        <v>2500.0</v>
      </c>
      <c r="G341" s="85">
        <v>10698.31</v>
      </c>
      <c r="H341" s="82">
        <f t="shared" si="2"/>
        <v>10698.31</v>
      </c>
      <c r="I341" s="82">
        <f t="shared" si="1"/>
        <v>0</v>
      </c>
    </row>
    <row r="342" ht="12.75" customHeight="1">
      <c r="A342" s="84">
        <v>45902.0</v>
      </c>
      <c r="B342" s="85" t="s">
        <v>605</v>
      </c>
      <c r="C342" s="82" t="s">
        <v>87</v>
      </c>
      <c r="D342" s="82" t="s">
        <v>171</v>
      </c>
      <c r="E342" s="85">
        <v>1000.0</v>
      </c>
      <c r="G342" s="85">
        <v>9698.31</v>
      </c>
      <c r="H342" s="82">
        <f t="shared" si="2"/>
        <v>9698.31</v>
      </c>
      <c r="I342" s="82">
        <f t="shared" si="1"/>
        <v>0</v>
      </c>
    </row>
    <row r="343" ht="12.75" customHeight="1">
      <c r="A343" s="84">
        <v>45902.0</v>
      </c>
      <c r="B343" s="85" t="s">
        <v>606</v>
      </c>
      <c r="C343" s="82" t="s">
        <v>118</v>
      </c>
      <c r="E343" s="85">
        <v>650.0</v>
      </c>
      <c r="G343" s="85">
        <v>9048.31</v>
      </c>
      <c r="H343" s="82">
        <f t="shared" si="2"/>
        <v>9048.31</v>
      </c>
      <c r="I343" s="82">
        <f t="shared" si="1"/>
        <v>0</v>
      </c>
    </row>
    <row r="344" ht="12.75" customHeight="1">
      <c r="A344" s="84">
        <v>45902.0</v>
      </c>
      <c r="B344" s="85" t="s">
        <v>607</v>
      </c>
      <c r="C344" s="82" t="s">
        <v>118</v>
      </c>
      <c r="E344" s="85">
        <v>1000.0</v>
      </c>
      <c r="G344" s="85">
        <v>8048.31</v>
      </c>
      <c r="H344" s="82">
        <f t="shared" si="2"/>
        <v>8048.31</v>
      </c>
      <c r="I344" s="82">
        <f t="shared" si="1"/>
        <v>0</v>
      </c>
    </row>
    <row r="345" ht="12.75" customHeight="1">
      <c r="A345" s="84">
        <v>45903.0</v>
      </c>
      <c r="B345" s="85" t="s">
        <v>608</v>
      </c>
      <c r="C345" s="85" t="s">
        <v>146</v>
      </c>
      <c r="D345" s="85" t="s">
        <v>147</v>
      </c>
      <c r="F345" s="85">
        <v>131356.0</v>
      </c>
      <c r="G345" s="85">
        <v>139404.31</v>
      </c>
      <c r="H345" s="82">
        <f t="shared" si="2"/>
        <v>139404.31</v>
      </c>
      <c r="I345" s="82">
        <f t="shared" si="1"/>
        <v>0</v>
      </c>
    </row>
    <row r="346" ht="12.75" customHeight="1">
      <c r="A346" s="84">
        <v>45903.0</v>
      </c>
      <c r="B346" s="85" t="s">
        <v>609</v>
      </c>
      <c r="C346" s="82" t="s">
        <v>96</v>
      </c>
      <c r="D346" s="86" t="s">
        <v>175</v>
      </c>
      <c r="E346" s="85">
        <v>135114.0</v>
      </c>
      <c r="G346" s="85">
        <v>4290.31</v>
      </c>
      <c r="H346" s="82">
        <f t="shared" si="2"/>
        <v>4290.31</v>
      </c>
      <c r="I346" s="82">
        <f t="shared" si="1"/>
        <v>0</v>
      </c>
    </row>
    <row r="347" ht="12.75" customHeight="1">
      <c r="A347" s="84">
        <v>45904.0</v>
      </c>
      <c r="B347" s="85" t="s">
        <v>610</v>
      </c>
      <c r="C347" s="82" t="s">
        <v>118</v>
      </c>
      <c r="E347" s="85">
        <v>1000.0</v>
      </c>
      <c r="G347" s="85">
        <v>3290.31</v>
      </c>
      <c r="H347" s="82">
        <f t="shared" si="2"/>
        <v>3290.31</v>
      </c>
      <c r="I347" s="82">
        <f t="shared" si="1"/>
        <v>0</v>
      </c>
    </row>
    <row r="348" ht="12.75" customHeight="1">
      <c r="A348" s="84">
        <v>45904.0</v>
      </c>
      <c r="B348" s="85" t="s">
        <v>611</v>
      </c>
      <c r="C348" s="82" t="s">
        <v>100</v>
      </c>
      <c r="D348" s="82" t="s">
        <v>149</v>
      </c>
      <c r="E348" s="85">
        <v>300.9</v>
      </c>
      <c r="G348" s="85">
        <v>2989.41</v>
      </c>
      <c r="H348" s="82">
        <f t="shared" si="2"/>
        <v>2989.41</v>
      </c>
      <c r="I348" s="82">
        <f t="shared" si="1"/>
        <v>0</v>
      </c>
    </row>
    <row r="349" ht="12.75" customHeight="1">
      <c r="A349" s="84">
        <v>45904.0</v>
      </c>
      <c r="B349" s="85" t="s">
        <v>612</v>
      </c>
      <c r="C349" s="82" t="s">
        <v>108</v>
      </c>
      <c r="D349" s="86" t="s">
        <v>265</v>
      </c>
      <c r="E349" s="85">
        <v>499.91</v>
      </c>
      <c r="G349" s="85">
        <v>2489.5</v>
      </c>
      <c r="H349" s="82">
        <f t="shared" si="2"/>
        <v>2489.5</v>
      </c>
      <c r="I349" s="82">
        <f t="shared" si="1"/>
        <v>0</v>
      </c>
    </row>
    <row r="350" ht="12.75" customHeight="1">
      <c r="A350" s="84">
        <v>45906.0</v>
      </c>
      <c r="B350" s="85" t="s">
        <v>613</v>
      </c>
      <c r="C350" s="82" t="s">
        <v>87</v>
      </c>
      <c r="D350" s="82" t="s">
        <v>171</v>
      </c>
      <c r="E350" s="85">
        <v>770.0</v>
      </c>
      <c r="G350" s="85">
        <v>1719.5</v>
      </c>
      <c r="H350" s="82">
        <f t="shared" si="2"/>
        <v>1719.5</v>
      </c>
      <c r="I350" s="82">
        <f t="shared" si="1"/>
        <v>0</v>
      </c>
    </row>
    <row r="351" ht="12.75" customHeight="1">
      <c r="A351" s="84">
        <v>45909.0</v>
      </c>
      <c r="B351" s="85" t="s">
        <v>614</v>
      </c>
      <c r="C351" s="82" t="s">
        <v>108</v>
      </c>
      <c r="D351" s="86" t="s">
        <v>615</v>
      </c>
      <c r="E351" s="85">
        <v>1700.0</v>
      </c>
      <c r="G351" s="85">
        <v>19.5</v>
      </c>
      <c r="H351" s="82">
        <f t="shared" si="2"/>
        <v>19.5</v>
      </c>
      <c r="I351" s="82">
        <f t="shared" si="1"/>
        <v>0</v>
      </c>
    </row>
    <row r="352" ht="12.75" customHeight="1">
      <c r="A352" s="84">
        <v>45909.0</v>
      </c>
      <c r="B352" s="85" t="s">
        <v>616</v>
      </c>
      <c r="C352" s="82" t="s">
        <v>173</v>
      </c>
      <c r="D352" s="82" t="s">
        <v>109</v>
      </c>
      <c r="F352" s="85">
        <v>8676.16</v>
      </c>
      <c r="G352" s="85">
        <v>8695.66</v>
      </c>
      <c r="H352" s="82">
        <f t="shared" si="2"/>
        <v>8695.66</v>
      </c>
      <c r="I352" s="82">
        <f t="shared" si="1"/>
        <v>0</v>
      </c>
    </row>
    <row r="353" ht="12.75" customHeight="1">
      <c r="A353" s="84">
        <v>45909.0</v>
      </c>
      <c r="B353" s="85" t="s">
        <v>617</v>
      </c>
      <c r="C353" s="82" t="s">
        <v>81</v>
      </c>
      <c r="D353" s="86" t="s">
        <v>392</v>
      </c>
      <c r="E353" s="85">
        <v>1195.0</v>
      </c>
      <c r="G353" s="85">
        <v>7500.66</v>
      </c>
      <c r="H353" s="82">
        <f t="shared" si="2"/>
        <v>7500.66</v>
      </c>
      <c r="I353" s="82">
        <f t="shared" si="1"/>
        <v>0</v>
      </c>
    </row>
    <row r="354" ht="12.75" customHeight="1">
      <c r="A354" s="84">
        <v>45909.0</v>
      </c>
      <c r="B354" s="85" t="s">
        <v>618</v>
      </c>
      <c r="C354" s="82" t="s">
        <v>118</v>
      </c>
      <c r="E354" s="85">
        <v>1500.0</v>
      </c>
      <c r="G354" s="85">
        <v>6000.66</v>
      </c>
      <c r="H354" s="82">
        <f t="shared" si="2"/>
        <v>6000.66</v>
      </c>
      <c r="I354" s="82">
        <f t="shared" si="1"/>
        <v>0</v>
      </c>
    </row>
    <row r="355" ht="12.75" customHeight="1">
      <c r="A355" s="84">
        <v>45910.0</v>
      </c>
      <c r="B355" s="86" t="s">
        <v>619</v>
      </c>
      <c r="C355" s="82" t="s">
        <v>81</v>
      </c>
      <c r="D355" s="86" t="s">
        <v>392</v>
      </c>
      <c r="E355" s="85">
        <v>300.0</v>
      </c>
      <c r="G355" s="85">
        <v>5700.66</v>
      </c>
      <c r="H355" s="82">
        <f t="shared" si="2"/>
        <v>5700.66</v>
      </c>
      <c r="I355" s="82">
        <f t="shared" si="1"/>
        <v>0</v>
      </c>
    </row>
    <row r="356" ht="12.75" customHeight="1">
      <c r="A356" s="84">
        <v>45910.0</v>
      </c>
      <c r="B356" s="86" t="s">
        <v>620</v>
      </c>
      <c r="C356" s="83" t="s">
        <v>97</v>
      </c>
      <c r="D356" s="83" t="s">
        <v>166</v>
      </c>
      <c r="E356" s="85">
        <v>1917.5</v>
      </c>
      <c r="G356" s="85">
        <v>3783.16</v>
      </c>
      <c r="H356" s="82">
        <f t="shared" si="2"/>
        <v>3783.16</v>
      </c>
      <c r="I356" s="82">
        <f t="shared" si="1"/>
        <v>0</v>
      </c>
    </row>
    <row r="357" ht="12.75" customHeight="1">
      <c r="A357" s="84">
        <v>45910.0</v>
      </c>
      <c r="B357" s="85" t="s">
        <v>621</v>
      </c>
      <c r="C357" s="82" t="s">
        <v>118</v>
      </c>
      <c r="D357" s="82"/>
      <c r="E357" s="85">
        <v>250.0</v>
      </c>
      <c r="G357" s="85">
        <v>3533.16</v>
      </c>
      <c r="H357" s="82">
        <f t="shared" si="2"/>
        <v>3533.16</v>
      </c>
      <c r="I357" s="82">
        <f t="shared" si="1"/>
        <v>0</v>
      </c>
    </row>
    <row r="358" ht="12.75" customHeight="1">
      <c r="A358" s="84">
        <v>45910.0</v>
      </c>
      <c r="B358" s="85" t="s">
        <v>622</v>
      </c>
      <c r="C358" s="82" t="s">
        <v>87</v>
      </c>
      <c r="D358" s="82" t="s">
        <v>623</v>
      </c>
      <c r="E358" s="85">
        <v>265.0</v>
      </c>
      <c r="G358" s="85">
        <v>3268.16</v>
      </c>
      <c r="H358" s="82">
        <f t="shared" si="2"/>
        <v>3268.16</v>
      </c>
      <c r="I358" s="82">
        <f t="shared" si="1"/>
        <v>0</v>
      </c>
    </row>
    <row r="359" ht="12.75" customHeight="1">
      <c r="A359" s="84">
        <v>45910.0</v>
      </c>
      <c r="B359" s="85" t="s">
        <v>624</v>
      </c>
      <c r="C359" s="82" t="s">
        <v>118</v>
      </c>
      <c r="E359" s="85">
        <v>500.0</v>
      </c>
      <c r="G359" s="85">
        <v>2768.16</v>
      </c>
      <c r="H359" s="82">
        <f t="shared" si="2"/>
        <v>2768.16</v>
      </c>
      <c r="I359" s="82">
        <f t="shared" si="1"/>
        <v>0</v>
      </c>
    </row>
    <row r="360" ht="12.75" customHeight="1">
      <c r="A360" s="84">
        <v>45910.0</v>
      </c>
      <c r="B360" s="85" t="s">
        <v>625</v>
      </c>
      <c r="C360" s="82" t="s">
        <v>173</v>
      </c>
      <c r="D360" s="86" t="s">
        <v>110</v>
      </c>
      <c r="F360" s="85">
        <v>88491.28</v>
      </c>
      <c r="G360" s="85">
        <v>91259.44</v>
      </c>
      <c r="H360" s="82">
        <f t="shared" si="2"/>
        <v>91259.44</v>
      </c>
      <c r="I360" s="82">
        <f t="shared" si="1"/>
        <v>0</v>
      </c>
    </row>
    <row r="361" ht="12.75" customHeight="1">
      <c r="A361" s="84">
        <v>45910.0</v>
      </c>
      <c r="B361" s="85" t="s">
        <v>626</v>
      </c>
      <c r="C361" s="82" t="s">
        <v>96</v>
      </c>
      <c r="D361" s="86" t="s">
        <v>175</v>
      </c>
      <c r="E361" s="85">
        <v>13497.0</v>
      </c>
      <c r="G361" s="85">
        <v>77762.44</v>
      </c>
      <c r="H361" s="82">
        <f t="shared" si="2"/>
        <v>77762.44</v>
      </c>
      <c r="I361" s="82">
        <f t="shared" si="1"/>
        <v>0</v>
      </c>
    </row>
    <row r="362" ht="12.75" customHeight="1">
      <c r="A362" s="84">
        <v>45910.0</v>
      </c>
      <c r="B362" s="85" t="s">
        <v>627</v>
      </c>
      <c r="C362" s="82" t="s">
        <v>91</v>
      </c>
      <c r="D362" s="82" t="s">
        <v>162</v>
      </c>
      <c r="E362" s="85">
        <v>18875.0</v>
      </c>
      <c r="G362" s="85">
        <v>58887.44</v>
      </c>
      <c r="H362" s="82">
        <f t="shared" si="2"/>
        <v>58887.44</v>
      </c>
      <c r="I362" s="82">
        <f t="shared" si="1"/>
        <v>0</v>
      </c>
    </row>
    <row r="363" ht="12.75" customHeight="1">
      <c r="A363" s="84">
        <v>45910.0</v>
      </c>
      <c r="B363" s="85" t="s">
        <v>628</v>
      </c>
      <c r="C363" s="82" t="s">
        <v>123</v>
      </c>
      <c r="D363" s="82" t="s">
        <v>399</v>
      </c>
      <c r="E363" s="85">
        <v>8000.0</v>
      </c>
      <c r="G363" s="85">
        <v>50887.44</v>
      </c>
      <c r="H363" s="82">
        <f t="shared" si="2"/>
        <v>50887.44</v>
      </c>
      <c r="I363" s="82">
        <f t="shared" si="1"/>
        <v>0</v>
      </c>
    </row>
    <row r="364" ht="12.75" customHeight="1">
      <c r="A364" s="84">
        <v>45911.0</v>
      </c>
      <c r="B364" s="85" t="s">
        <v>629</v>
      </c>
      <c r="C364" s="82" t="s">
        <v>118</v>
      </c>
      <c r="E364" s="85">
        <v>1000.0</v>
      </c>
      <c r="G364" s="85">
        <v>49887.44</v>
      </c>
      <c r="H364" s="82">
        <f t="shared" si="2"/>
        <v>49887.44</v>
      </c>
      <c r="I364" s="82">
        <f t="shared" si="1"/>
        <v>0</v>
      </c>
    </row>
    <row r="365" ht="12.75" customHeight="1">
      <c r="A365" s="84">
        <v>45911.0</v>
      </c>
      <c r="B365" s="85" t="s">
        <v>630</v>
      </c>
      <c r="C365" s="82" t="s">
        <v>87</v>
      </c>
      <c r="D365" s="82" t="s">
        <v>155</v>
      </c>
      <c r="E365" s="85">
        <v>1358.0</v>
      </c>
      <c r="G365" s="85">
        <v>48529.44</v>
      </c>
      <c r="H365" s="82">
        <f t="shared" si="2"/>
        <v>48529.44</v>
      </c>
      <c r="I365" s="82">
        <f t="shared" si="1"/>
        <v>0</v>
      </c>
    </row>
    <row r="366" ht="12.75" customHeight="1">
      <c r="A366" s="84">
        <v>45911.0</v>
      </c>
      <c r="B366" s="86" t="s">
        <v>631</v>
      </c>
      <c r="C366" s="82" t="s">
        <v>91</v>
      </c>
      <c r="D366" s="82" t="s">
        <v>260</v>
      </c>
      <c r="E366" s="85">
        <v>18875.0</v>
      </c>
      <c r="G366" s="85">
        <v>29654.44</v>
      </c>
      <c r="H366" s="82">
        <f t="shared" si="2"/>
        <v>29654.44</v>
      </c>
      <c r="I366" s="82">
        <f t="shared" si="1"/>
        <v>0</v>
      </c>
    </row>
    <row r="367" ht="12.75" customHeight="1">
      <c r="A367" s="84">
        <v>45911.0</v>
      </c>
      <c r="B367" s="85" t="s">
        <v>632</v>
      </c>
      <c r="C367" s="82" t="s">
        <v>100</v>
      </c>
      <c r="D367" s="85" t="s">
        <v>149</v>
      </c>
      <c r="E367" s="85">
        <v>320.9</v>
      </c>
      <c r="G367" s="85">
        <v>29333.54</v>
      </c>
      <c r="H367" s="82">
        <f t="shared" si="2"/>
        <v>29333.54</v>
      </c>
      <c r="I367" s="82">
        <f t="shared" si="1"/>
        <v>0</v>
      </c>
    </row>
    <row r="368" ht="12.75" customHeight="1">
      <c r="A368" s="84">
        <v>45911.0</v>
      </c>
      <c r="B368" s="85" t="s">
        <v>633</v>
      </c>
      <c r="C368" s="82" t="s">
        <v>95</v>
      </c>
      <c r="D368" s="82" t="s">
        <v>232</v>
      </c>
      <c r="E368" s="85">
        <v>27544.0</v>
      </c>
      <c r="G368" s="85">
        <v>1789.54</v>
      </c>
      <c r="H368" s="82">
        <f t="shared" si="2"/>
        <v>1789.54</v>
      </c>
      <c r="I368" s="82">
        <f t="shared" si="1"/>
        <v>0</v>
      </c>
    </row>
    <row r="369" ht="12.75" customHeight="1">
      <c r="A369" s="84">
        <v>45912.0</v>
      </c>
      <c r="B369" s="85" t="s">
        <v>634</v>
      </c>
      <c r="C369" s="82" t="s">
        <v>120</v>
      </c>
      <c r="D369" s="82" t="s">
        <v>197</v>
      </c>
      <c r="F369" s="85">
        <v>50000.0</v>
      </c>
      <c r="G369" s="85">
        <v>51789.54</v>
      </c>
      <c r="H369" s="82">
        <f t="shared" si="2"/>
        <v>51789.54</v>
      </c>
      <c r="I369" s="82">
        <f t="shared" si="1"/>
        <v>0</v>
      </c>
    </row>
    <row r="370" ht="12.75" customHeight="1">
      <c r="A370" s="84">
        <v>45913.0</v>
      </c>
      <c r="B370" s="85" t="s">
        <v>635</v>
      </c>
      <c r="C370" s="82" t="s">
        <v>124</v>
      </c>
      <c r="D370" s="82" t="s">
        <v>636</v>
      </c>
      <c r="E370" s="85">
        <v>4727.0</v>
      </c>
      <c r="G370" s="85">
        <v>47062.54</v>
      </c>
      <c r="H370" s="82">
        <f t="shared" si="2"/>
        <v>47062.54</v>
      </c>
      <c r="I370" s="82">
        <f t="shared" si="1"/>
        <v>0</v>
      </c>
    </row>
    <row r="371" ht="12.75" customHeight="1">
      <c r="A371" s="84">
        <v>45913.0</v>
      </c>
      <c r="B371" s="85" t="s">
        <v>637</v>
      </c>
      <c r="C371" s="83" t="s">
        <v>92</v>
      </c>
      <c r="D371" s="83" t="s">
        <v>638</v>
      </c>
      <c r="E371" s="85">
        <v>10000.0</v>
      </c>
      <c r="G371" s="85">
        <v>37062.54</v>
      </c>
      <c r="H371" s="82">
        <f t="shared" si="2"/>
        <v>37062.54</v>
      </c>
      <c r="I371" s="82">
        <f t="shared" si="1"/>
        <v>0</v>
      </c>
    </row>
    <row r="372" ht="12.75" customHeight="1">
      <c r="A372" s="84">
        <v>45913.0</v>
      </c>
      <c r="B372" s="85" t="s">
        <v>639</v>
      </c>
      <c r="C372" s="82" t="s">
        <v>86</v>
      </c>
      <c r="D372" s="82" t="s">
        <v>640</v>
      </c>
      <c r="E372" s="85">
        <v>28974.0</v>
      </c>
      <c r="G372" s="85">
        <v>8088.54</v>
      </c>
      <c r="H372" s="82">
        <f t="shared" si="2"/>
        <v>8088.54</v>
      </c>
      <c r="I372" s="82">
        <f t="shared" si="1"/>
        <v>0</v>
      </c>
    </row>
    <row r="373" ht="12.75" customHeight="1">
      <c r="A373" s="84">
        <v>45913.0</v>
      </c>
      <c r="B373" s="85" t="s">
        <v>641</v>
      </c>
      <c r="C373" s="83" t="s">
        <v>106</v>
      </c>
      <c r="D373" s="83" t="s">
        <v>274</v>
      </c>
      <c r="E373" s="85">
        <v>4130.0</v>
      </c>
      <c r="G373" s="85">
        <v>3958.54</v>
      </c>
      <c r="H373" s="82">
        <f t="shared" si="2"/>
        <v>3958.54</v>
      </c>
      <c r="I373" s="82">
        <f t="shared" si="1"/>
        <v>0</v>
      </c>
    </row>
    <row r="374" ht="12.75" customHeight="1">
      <c r="A374" s="84">
        <v>45913.0</v>
      </c>
      <c r="B374" s="85" t="s">
        <v>642</v>
      </c>
      <c r="C374" s="82" t="s">
        <v>173</v>
      </c>
      <c r="D374" s="82" t="s">
        <v>643</v>
      </c>
      <c r="F374" s="85">
        <v>59000.0</v>
      </c>
      <c r="G374" s="85">
        <v>62958.54</v>
      </c>
      <c r="H374" s="82">
        <f t="shared" si="2"/>
        <v>62958.54</v>
      </c>
      <c r="I374" s="82">
        <f t="shared" si="1"/>
        <v>0</v>
      </c>
    </row>
    <row r="375" ht="12.75" customHeight="1">
      <c r="A375" s="84">
        <v>45914.0</v>
      </c>
      <c r="B375" s="85" t="s">
        <v>644</v>
      </c>
      <c r="C375" s="83" t="s">
        <v>118</v>
      </c>
      <c r="E375" s="85">
        <v>50.0</v>
      </c>
      <c r="G375" s="85">
        <v>62908.54</v>
      </c>
      <c r="H375" s="82">
        <f t="shared" si="2"/>
        <v>62908.54</v>
      </c>
      <c r="I375" s="82">
        <f t="shared" si="1"/>
        <v>0</v>
      </c>
    </row>
    <row r="376" ht="12.75" customHeight="1">
      <c r="A376" s="84">
        <v>45914.0</v>
      </c>
      <c r="B376" s="85" t="s">
        <v>645</v>
      </c>
      <c r="C376" s="82" t="s">
        <v>125</v>
      </c>
      <c r="D376" s="86" t="s">
        <v>646</v>
      </c>
      <c r="E376" s="85">
        <v>652.0</v>
      </c>
      <c r="G376" s="85">
        <v>62256.54</v>
      </c>
      <c r="H376" s="82">
        <f t="shared" si="2"/>
        <v>62256.54</v>
      </c>
      <c r="I376" s="82">
        <f t="shared" si="1"/>
        <v>0</v>
      </c>
    </row>
    <row r="377" ht="12.75" customHeight="1">
      <c r="A377" s="84">
        <v>45914.0</v>
      </c>
      <c r="B377" s="85" t="s">
        <v>647</v>
      </c>
      <c r="C377" s="83" t="s">
        <v>118</v>
      </c>
      <c r="E377" s="85">
        <v>150.0</v>
      </c>
      <c r="G377" s="85">
        <v>62106.54</v>
      </c>
      <c r="H377" s="82">
        <f t="shared" si="2"/>
        <v>62106.54</v>
      </c>
      <c r="I377" s="82">
        <f t="shared" si="1"/>
        <v>0</v>
      </c>
    </row>
    <row r="378" ht="12.75" customHeight="1">
      <c r="A378" s="84">
        <v>45914.0</v>
      </c>
      <c r="B378" s="85" t="s">
        <v>648</v>
      </c>
      <c r="C378" s="82" t="s">
        <v>87</v>
      </c>
      <c r="D378" s="82" t="s">
        <v>195</v>
      </c>
      <c r="E378" s="85">
        <v>320.0</v>
      </c>
      <c r="G378" s="85">
        <v>61786.54</v>
      </c>
      <c r="H378" s="82">
        <f t="shared" si="2"/>
        <v>61786.54</v>
      </c>
      <c r="I378" s="82">
        <f t="shared" si="1"/>
        <v>0</v>
      </c>
    </row>
    <row r="379" ht="12.75" customHeight="1">
      <c r="A379" s="84">
        <v>45915.0</v>
      </c>
      <c r="B379" s="85" t="s">
        <v>649</v>
      </c>
      <c r="C379" s="83" t="s">
        <v>89</v>
      </c>
      <c r="D379" s="83" t="s">
        <v>234</v>
      </c>
      <c r="E379" s="85">
        <v>25000.0</v>
      </c>
      <c r="G379" s="85">
        <v>36786.54</v>
      </c>
      <c r="H379" s="82">
        <f t="shared" si="2"/>
        <v>36786.54</v>
      </c>
      <c r="I379" s="82">
        <f t="shared" si="1"/>
        <v>0</v>
      </c>
    </row>
    <row r="380" ht="12.75" customHeight="1">
      <c r="A380" s="84">
        <v>45915.0</v>
      </c>
      <c r="B380" s="86" t="s">
        <v>650</v>
      </c>
      <c r="C380" s="82" t="s">
        <v>88</v>
      </c>
      <c r="D380" s="82" t="s">
        <v>205</v>
      </c>
      <c r="E380" s="85">
        <v>1650.82</v>
      </c>
      <c r="G380" s="85">
        <v>35135.72</v>
      </c>
      <c r="H380" s="82">
        <f t="shared" si="2"/>
        <v>35135.72</v>
      </c>
      <c r="I380" s="82">
        <f t="shared" si="1"/>
        <v>0</v>
      </c>
    </row>
    <row r="381" ht="12.75" customHeight="1">
      <c r="A381" s="84">
        <v>45915.0</v>
      </c>
      <c r="B381" s="86" t="s">
        <v>651</v>
      </c>
      <c r="C381" s="82" t="s">
        <v>88</v>
      </c>
      <c r="D381" s="82" t="s">
        <v>205</v>
      </c>
      <c r="E381" s="85">
        <v>1712.72</v>
      </c>
      <c r="G381" s="85">
        <v>33423.0</v>
      </c>
      <c r="H381" s="82">
        <f t="shared" si="2"/>
        <v>33423</v>
      </c>
      <c r="I381" s="82">
        <f t="shared" si="1"/>
        <v>0</v>
      </c>
    </row>
    <row r="382" ht="12.75" customHeight="1">
      <c r="A382" s="84">
        <v>45915.0</v>
      </c>
      <c r="B382" s="86" t="s">
        <v>652</v>
      </c>
      <c r="C382" s="82" t="s">
        <v>90</v>
      </c>
      <c r="D382" s="86" t="s">
        <v>653</v>
      </c>
      <c r="E382" s="85">
        <v>100.0</v>
      </c>
      <c r="G382" s="85">
        <v>33323.0</v>
      </c>
      <c r="H382" s="82">
        <f t="shared" si="2"/>
        <v>33323</v>
      </c>
      <c r="I382" s="82">
        <f t="shared" si="1"/>
        <v>0</v>
      </c>
    </row>
    <row r="383" ht="12.75" customHeight="1">
      <c r="A383" s="84">
        <v>45915.0</v>
      </c>
      <c r="B383" s="85" t="s">
        <v>654</v>
      </c>
      <c r="C383" s="82" t="s">
        <v>118</v>
      </c>
      <c r="E383" s="85">
        <v>1000.0</v>
      </c>
      <c r="G383" s="85">
        <v>32323.0</v>
      </c>
      <c r="H383" s="82">
        <f t="shared" si="2"/>
        <v>32323</v>
      </c>
      <c r="I383" s="82">
        <f t="shared" si="1"/>
        <v>0</v>
      </c>
    </row>
    <row r="384" ht="12.75" customHeight="1">
      <c r="A384" s="84">
        <v>45916.0</v>
      </c>
      <c r="B384" s="85" t="s">
        <v>655</v>
      </c>
      <c r="C384" s="82" t="s">
        <v>146</v>
      </c>
      <c r="D384" s="86" t="s">
        <v>147</v>
      </c>
      <c r="F384" s="85">
        <v>131320.0</v>
      </c>
      <c r="G384" s="85">
        <v>163643.0</v>
      </c>
      <c r="H384" s="82">
        <f t="shared" si="2"/>
        <v>163643</v>
      </c>
      <c r="I384" s="82">
        <f t="shared" si="1"/>
        <v>0</v>
      </c>
    </row>
    <row r="385" ht="12.75" customHeight="1">
      <c r="A385" s="84">
        <v>45916.0</v>
      </c>
      <c r="B385" s="85" t="s">
        <v>656</v>
      </c>
      <c r="C385" s="82" t="s">
        <v>100</v>
      </c>
      <c r="D385" s="82" t="s">
        <v>149</v>
      </c>
      <c r="E385" s="85">
        <v>290.9</v>
      </c>
      <c r="G385" s="85">
        <v>163352.1</v>
      </c>
      <c r="H385" s="82">
        <f t="shared" si="2"/>
        <v>163352.1</v>
      </c>
      <c r="I385" s="82">
        <f t="shared" si="1"/>
        <v>0</v>
      </c>
    </row>
    <row r="386" ht="12.75" customHeight="1">
      <c r="A386" s="84">
        <v>45916.0</v>
      </c>
      <c r="B386" s="85" t="s">
        <v>657</v>
      </c>
      <c r="C386" s="82" t="s">
        <v>96</v>
      </c>
      <c r="D386" s="86" t="s">
        <v>175</v>
      </c>
      <c r="E386" s="85">
        <v>8009.0</v>
      </c>
      <c r="G386" s="85">
        <v>155343.1</v>
      </c>
      <c r="H386" s="82">
        <f t="shared" si="2"/>
        <v>155343.1</v>
      </c>
      <c r="I386" s="82">
        <f t="shared" si="1"/>
        <v>0</v>
      </c>
    </row>
    <row r="387" ht="12.75" customHeight="1">
      <c r="A387" s="84">
        <v>45916.0</v>
      </c>
      <c r="B387" s="85" t="s">
        <v>658</v>
      </c>
      <c r="C387" s="82" t="s">
        <v>96</v>
      </c>
      <c r="D387" s="86" t="s">
        <v>175</v>
      </c>
      <c r="E387" s="85">
        <v>7638.0</v>
      </c>
      <c r="G387" s="85">
        <v>147705.1</v>
      </c>
      <c r="H387" s="82">
        <f t="shared" si="2"/>
        <v>147705.1</v>
      </c>
      <c r="I387" s="82">
        <f t="shared" si="1"/>
        <v>0</v>
      </c>
    </row>
    <row r="388" ht="12.75" customHeight="1">
      <c r="A388" s="84">
        <v>45916.0</v>
      </c>
      <c r="B388" s="85" t="s">
        <v>659</v>
      </c>
      <c r="C388" s="82" t="s">
        <v>98</v>
      </c>
      <c r="D388" s="86" t="s">
        <v>183</v>
      </c>
      <c r="E388" s="85">
        <v>6391.0</v>
      </c>
      <c r="G388" s="85">
        <v>141314.1</v>
      </c>
      <c r="H388" s="82">
        <f t="shared" si="2"/>
        <v>141314.1</v>
      </c>
      <c r="I388" s="82">
        <f t="shared" si="1"/>
        <v>0</v>
      </c>
    </row>
    <row r="389" ht="12.75" customHeight="1">
      <c r="A389" s="84">
        <v>45916.0</v>
      </c>
      <c r="B389" s="85" t="s">
        <v>660</v>
      </c>
      <c r="C389" s="82" t="s">
        <v>98</v>
      </c>
      <c r="D389" s="82" t="s">
        <v>343</v>
      </c>
      <c r="E389" s="85">
        <v>6543.0</v>
      </c>
      <c r="G389" s="85">
        <v>134771.1</v>
      </c>
      <c r="H389" s="82">
        <f t="shared" si="2"/>
        <v>134771.1</v>
      </c>
      <c r="I389" s="82">
        <f t="shared" si="1"/>
        <v>0</v>
      </c>
    </row>
    <row r="390" ht="12.75" customHeight="1">
      <c r="A390" s="84">
        <v>45916.0</v>
      </c>
      <c r="B390" s="85" t="s">
        <v>661</v>
      </c>
      <c r="C390" s="82" t="s">
        <v>98</v>
      </c>
      <c r="D390" s="86" t="s">
        <v>662</v>
      </c>
      <c r="E390" s="85">
        <v>6391.0</v>
      </c>
      <c r="G390" s="85">
        <v>128380.1</v>
      </c>
      <c r="H390" s="82">
        <f t="shared" si="2"/>
        <v>128380.1</v>
      </c>
      <c r="I390" s="82">
        <f t="shared" si="1"/>
        <v>0</v>
      </c>
    </row>
    <row r="391" ht="12.75" customHeight="1">
      <c r="A391" s="84">
        <v>45916.0</v>
      </c>
      <c r="B391" s="85" t="s">
        <v>663</v>
      </c>
      <c r="C391" s="82" t="s">
        <v>98</v>
      </c>
      <c r="D391" s="86" t="s">
        <v>664</v>
      </c>
      <c r="E391" s="85">
        <v>7000.0</v>
      </c>
      <c r="G391" s="85">
        <v>121380.1</v>
      </c>
      <c r="H391" s="82">
        <f t="shared" si="2"/>
        <v>121380.1</v>
      </c>
      <c r="I391" s="82">
        <f t="shared" si="1"/>
        <v>0</v>
      </c>
    </row>
    <row r="392" ht="12.75" customHeight="1">
      <c r="A392" s="84">
        <v>45916.0</v>
      </c>
      <c r="B392" s="85" t="s">
        <v>665</v>
      </c>
      <c r="C392" s="82" t="s">
        <v>98</v>
      </c>
      <c r="D392" s="86" t="s">
        <v>666</v>
      </c>
      <c r="E392" s="85">
        <v>6087.0</v>
      </c>
      <c r="G392" s="85">
        <v>115293.1</v>
      </c>
      <c r="H392" s="82">
        <f t="shared" si="2"/>
        <v>115293.1</v>
      </c>
      <c r="I392" s="82">
        <f t="shared" si="1"/>
        <v>0</v>
      </c>
    </row>
    <row r="393" ht="12.75" customHeight="1">
      <c r="A393" s="84">
        <v>45916.0</v>
      </c>
      <c r="B393" s="85" t="s">
        <v>667</v>
      </c>
      <c r="C393" s="82" t="s">
        <v>98</v>
      </c>
      <c r="D393" s="86" t="s">
        <v>668</v>
      </c>
      <c r="E393" s="85">
        <v>7000.0</v>
      </c>
      <c r="G393" s="85">
        <v>108293.1</v>
      </c>
      <c r="H393" s="82">
        <f t="shared" si="2"/>
        <v>108293.1</v>
      </c>
      <c r="I393" s="82">
        <f t="shared" si="1"/>
        <v>0</v>
      </c>
    </row>
    <row r="394" ht="12.75" customHeight="1">
      <c r="A394" s="84">
        <v>45916.0</v>
      </c>
      <c r="B394" s="85" t="s">
        <v>669</v>
      </c>
      <c r="C394" s="82" t="s">
        <v>98</v>
      </c>
      <c r="D394" s="86" t="s">
        <v>465</v>
      </c>
      <c r="E394" s="85">
        <v>6720.0</v>
      </c>
      <c r="G394" s="85">
        <v>101573.1</v>
      </c>
      <c r="H394" s="82">
        <f t="shared" si="2"/>
        <v>101573.1</v>
      </c>
      <c r="I394" s="82">
        <f t="shared" si="1"/>
        <v>0</v>
      </c>
    </row>
    <row r="395" ht="12.75" customHeight="1">
      <c r="A395" s="84">
        <v>45916.0</v>
      </c>
      <c r="B395" s="85" t="s">
        <v>670</v>
      </c>
      <c r="C395" s="82" t="s">
        <v>96</v>
      </c>
      <c r="D395" s="86" t="s">
        <v>175</v>
      </c>
      <c r="E395" s="85">
        <v>70786.0</v>
      </c>
      <c r="G395" s="85">
        <v>30787.1</v>
      </c>
      <c r="H395" s="82">
        <f t="shared" si="2"/>
        <v>30787.1</v>
      </c>
      <c r="I395" s="82">
        <f t="shared" si="1"/>
        <v>0</v>
      </c>
    </row>
    <row r="396" ht="12.75" customHeight="1">
      <c r="A396" s="84">
        <v>45916.0</v>
      </c>
      <c r="B396" s="85" t="s">
        <v>671</v>
      </c>
      <c r="C396" s="82" t="s">
        <v>98</v>
      </c>
      <c r="D396" s="86" t="s">
        <v>335</v>
      </c>
      <c r="E396" s="85">
        <v>6391.0</v>
      </c>
      <c r="G396" s="85">
        <v>24396.1</v>
      </c>
      <c r="H396" s="82">
        <f t="shared" si="2"/>
        <v>24396.1</v>
      </c>
      <c r="I396" s="82">
        <f t="shared" si="1"/>
        <v>0</v>
      </c>
    </row>
    <row r="397" ht="12.75" customHeight="1">
      <c r="A397" s="84">
        <v>45916.0</v>
      </c>
      <c r="B397" s="85" t="s">
        <v>506</v>
      </c>
      <c r="C397" s="82" t="s">
        <v>173</v>
      </c>
      <c r="D397" s="86" t="s">
        <v>129</v>
      </c>
      <c r="F397" s="85">
        <v>186000.0</v>
      </c>
      <c r="G397" s="85">
        <v>210396.1</v>
      </c>
      <c r="H397" s="82">
        <f t="shared" si="2"/>
        <v>210396.1</v>
      </c>
      <c r="I397" s="82">
        <f t="shared" si="1"/>
        <v>0</v>
      </c>
    </row>
    <row r="398" ht="12.75" customHeight="1">
      <c r="A398" s="84">
        <v>45916.0</v>
      </c>
      <c r="B398" s="85" t="s">
        <v>672</v>
      </c>
      <c r="C398" s="82" t="s">
        <v>96</v>
      </c>
      <c r="D398" s="86" t="s">
        <v>175</v>
      </c>
      <c r="E398" s="85">
        <v>47753.0</v>
      </c>
      <c r="G398" s="85">
        <v>162643.1</v>
      </c>
      <c r="H398" s="82">
        <f t="shared" si="2"/>
        <v>162643.1</v>
      </c>
      <c r="I398" s="82">
        <f t="shared" si="1"/>
        <v>0</v>
      </c>
    </row>
    <row r="399" ht="12.75" customHeight="1">
      <c r="A399" s="84">
        <v>45916.0</v>
      </c>
      <c r="B399" s="85" t="s">
        <v>673</v>
      </c>
      <c r="C399" s="82" t="s">
        <v>96</v>
      </c>
      <c r="D399" s="86" t="s">
        <v>175</v>
      </c>
      <c r="E399" s="85">
        <v>7824.0</v>
      </c>
      <c r="G399" s="85">
        <v>154819.1</v>
      </c>
      <c r="H399" s="82">
        <f t="shared" si="2"/>
        <v>154819.1</v>
      </c>
      <c r="I399" s="82">
        <f t="shared" si="1"/>
        <v>0</v>
      </c>
    </row>
    <row r="400" ht="12.75" customHeight="1">
      <c r="A400" s="84">
        <v>45916.0</v>
      </c>
      <c r="B400" s="85" t="s">
        <v>674</v>
      </c>
      <c r="C400" s="82" t="s">
        <v>98</v>
      </c>
      <c r="D400" s="82" t="s">
        <v>333</v>
      </c>
      <c r="E400" s="85">
        <v>9565.0</v>
      </c>
      <c r="G400" s="85">
        <v>145254.1</v>
      </c>
      <c r="H400" s="82">
        <f t="shared" si="2"/>
        <v>145254.1</v>
      </c>
      <c r="I400" s="82">
        <f t="shared" si="1"/>
        <v>0</v>
      </c>
    </row>
    <row r="401" ht="12.75" customHeight="1">
      <c r="A401" s="84">
        <v>45916.0</v>
      </c>
      <c r="B401" s="85" t="s">
        <v>675</v>
      </c>
      <c r="C401" s="82" t="s">
        <v>98</v>
      </c>
      <c r="D401" s="86" t="s">
        <v>676</v>
      </c>
      <c r="E401" s="85">
        <v>2130.0</v>
      </c>
      <c r="G401" s="85">
        <v>143124.1</v>
      </c>
      <c r="H401" s="82">
        <f t="shared" si="2"/>
        <v>143124.1</v>
      </c>
      <c r="I401" s="82">
        <f t="shared" si="1"/>
        <v>0</v>
      </c>
    </row>
    <row r="402" ht="12.75" customHeight="1">
      <c r="A402" s="84">
        <v>45916.0</v>
      </c>
      <c r="B402" s="85" t="s">
        <v>677</v>
      </c>
      <c r="C402" s="82" t="s">
        <v>96</v>
      </c>
      <c r="D402" s="86" t="s">
        <v>175</v>
      </c>
      <c r="E402" s="85">
        <v>8009.0</v>
      </c>
      <c r="G402" s="85">
        <v>135115.1</v>
      </c>
      <c r="H402" s="82">
        <f t="shared" si="2"/>
        <v>135115.1</v>
      </c>
      <c r="I402" s="82">
        <f t="shared" si="1"/>
        <v>0</v>
      </c>
    </row>
    <row r="403" ht="12.75" customHeight="1">
      <c r="A403" s="84">
        <v>45916.0</v>
      </c>
      <c r="B403" s="85" t="s">
        <v>678</v>
      </c>
      <c r="C403" s="82" t="s">
        <v>122</v>
      </c>
      <c r="D403" s="86" t="s">
        <v>679</v>
      </c>
      <c r="E403" s="85">
        <v>20000.0</v>
      </c>
      <c r="G403" s="85">
        <v>115115.1</v>
      </c>
      <c r="H403" s="82">
        <f t="shared" si="2"/>
        <v>115115.1</v>
      </c>
      <c r="I403" s="82">
        <f t="shared" si="1"/>
        <v>0</v>
      </c>
    </row>
    <row r="404" ht="12.75" customHeight="1">
      <c r="A404" s="84">
        <v>45916.0</v>
      </c>
      <c r="B404" s="85" t="s">
        <v>680</v>
      </c>
      <c r="C404" s="82" t="s">
        <v>122</v>
      </c>
      <c r="D404" s="86" t="s">
        <v>679</v>
      </c>
      <c r="E404" s="85">
        <v>20000.0</v>
      </c>
      <c r="G404" s="85">
        <v>95115.1</v>
      </c>
      <c r="H404" s="82">
        <f t="shared" si="2"/>
        <v>95115.1</v>
      </c>
      <c r="I404" s="82">
        <f t="shared" si="1"/>
        <v>0</v>
      </c>
    </row>
    <row r="405" ht="12.75" customHeight="1">
      <c r="A405" s="84">
        <v>45916.0</v>
      </c>
      <c r="B405" s="85" t="s">
        <v>680</v>
      </c>
      <c r="C405" s="82" t="s">
        <v>122</v>
      </c>
      <c r="D405" s="86" t="s">
        <v>679</v>
      </c>
      <c r="E405" s="85">
        <v>20000.0</v>
      </c>
      <c r="G405" s="85">
        <v>75115.1</v>
      </c>
      <c r="H405" s="82">
        <f t="shared" si="2"/>
        <v>75115.1</v>
      </c>
      <c r="I405" s="82">
        <f t="shared" si="1"/>
        <v>0</v>
      </c>
    </row>
    <row r="406" ht="12.75" customHeight="1">
      <c r="A406" s="84">
        <v>45916.0</v>
      </c>
      <c r="B406" s="85" t="s">
        <v>680</v>
      </c>
      <c r="C406" s="82" t="s">
        <v>122</v>
      </c>
      <c r="D406" s="86" t="s">
        <v>679</v>
      </c>
      <c r="E406" s="85">
        <v>20000.0</v>
      </c>
      <c r="G406" s="85">
        <v>55115.1</v>
      </c>
      <c r="H406" s="82">
        <f t="shared" si="2"/>
        <v>55115.1</v>
      </c>
      <c r="I406" s="82">
        <f t="shared" si="1"/>
        <v>0</v>
      </c>
    </row>
    <row r="407" ht="12.75" customHeight="1">
      <c r="A407" s="84">
        <v>45916.0</v>
      </c>
      <c r="B407" s="85" t="s">
        <v>680</v>
      </c>
      <c r="C407" s="82" t="s">
        <v>122</v>
      </c>
      <c r="D407" s="86" t="s">
        <v>679</v>
      </c>
      <c r="E407" s="85">
        <v>5000.0</v>
      </c>
      <c r="G407" s="85">
        <v>50115.1</v>
      </c>
      <c r="H407" s="82">
        <f t="shared" si="2"/>
        <v>50115.1</v>
      </c>
      <c r="I407" s="82">
        <f t="shared" si="1"/>
        <v>0</v>
      </c>
    </row>
    <row r="408" ht="12.75" customHeight="1">
      <c r="A408" s="84">
        <v>45917.0</v>
      </c>
      <c r="B408" s="85" t="s">
        <v>681</v>
      </c>
      <c r="C408" s="82" t="s">
        <v>118</v>
      </c>
      <c r="E408" s="85">
        <v>1380.0</v>
      </c>
      <c r="G408" s="85">
        <v>48735.1</v>
      </c>
      <c r="H408" s="82">
        <f t="shared" si="2"/>
        <v>48735.1</v>
      </c>
      <c r="I408" s="82">
        <f t="shared" si="1"/>
        <v>0</v>
      </c>
    </row>
    <row r="409" ht="12.75" customHeight="1">
      <c r="A409" s="84">
        <v>45918.0</v>
      </c>
      <c r="B409" s="86" t="s">
        <v>682</v>
      </c>
      <c r="C409" s="82" t="s">
        <v>98</v>
      </c>
      <c r="D409" s="86" t="s">
        <v>683</v>
      </c>
      <c r="E409" s="85">
        <v>1946.0</v>
      </c>
      <c r="G409" s="85">
        <v>46789.1</v>
      </c>
      <c r="H409" s="82">
        <f t="shared" si="2"/>
        <v>46789.1</v>
      </c>
      <c r="I409" s="82">
        <f t="shared" si="1"/>
        <v>0</v>
      </c>
    </row>
    <row r="410" ht="12.75" customHeight="1">
      <c r="A410" s="84">
        <v>45918.0</v>
      </c>
      <c r="B410" s="85" t="s">
        <v>684</v>
      </c>
      <c r="C410" s="82" t="s">
        <v>98</v>
      </c>
      <c r="D410" s="86" t="s">
        <v>685</v>
      </c>
      <c r="E410" s="85">
        <v>200.0</v>
      </c>
      <c r="G410" s="85">
        <v>46589.1</v>
      </c>
      <c r="H410" s="82">
        <f t="shared" si="2"/>
        <v>46589.1</v>
      </c>
      <c r="I410" s="82">
        <f t="shared" si="1"/>
        <v>0</v>
      </c>
    </row>
    <row r="411" ht="12.75" customHeight="1">
      <c r="A411" s="84">
        <v>45918.0</v>
      </c>
      <c r="B411" s="85" t="s">
        <v>686</v>
      </c>
      <c r="C411" s="82" t="s">
        <v>98</v>
      </c>
      <c r="D411" s="86" t="s">
        <v>177</v>
      </c>
      <c r="E411" s="85">
        <v>3478.0</v>
      </c>
      <c r="G411" s="85">
        <v>43111.1</v>
      </c>
      <c r="H411" s="82">
        <f t="shared" si="2"/>
        <v>43111.1</v>
      </c>
      <c r="I411" s="82">
        <f t="shared" si="1"/>
        <v>0</v>
      </c>
    </row>
    <row r="412" ht="12.75" customHeight="1">
      <c r="A412" s="84">
        <v>45918.0</v>
      </c>
      <c r="B412" s="85" t="s">
        <v>687</v>
      </c>
      <c r="C412" s="82" t="s">
        <v>118</v>
      </c>
      <c r="E412" s="85">
        <v>649.0</v>
      </c>
      <c r="G412" s="85">
        <v>42462.1</v>
      </c>
      <c r="H412" s="82">
        <f t="shared" si="2"/>
        <v>42462.1</v>
      </c>
      <c r="I412" s="82">
        <f t="shared" si="1"/>
        <v>0</v>
      </c>
    </row>
    <row r="413" ht="12.75" customHeight="1">
      <c r="A413" s="84">
        <v>45918.0</v>
      </c>
      <c r="B413" s="85" t="s">
        <v>688</v>
      </c>
      <c r="C413" s="82" t="s">
        <v>87</v>
      </c>
      <c r="D413" s="82" t="s">
        <v>171</v>
      </c>
      <c r="E413" s="85">
        <v>780.0</v>
      </c>
      <c r="G413" s="85">
        <v>41682.1</v>
      </c>
      <c r="H413" s="82">
        <f t="shared" si="2"/>
        <v>41682.1</v>
      </c>
      <c r="I413" s="82">
        <f t="shared" si="1"/>
        <v>0</v>
      </c>
    </row>
    <row r="414" ht="12.75" customHeight="1">
      <c r="A414" s="84">
        <v>45919.0</v>
      </c>
      <c r="B414" s="85" t="s">
        <v>689</v>
      </c>
      <c r="C414" s="82" t="s">
        <v>242</v>
      </c>
      <c r="D414" s="82" t="s">
        <v>690</v>
      </c>
      <c r="E414" s="85">
        <v>5400.0</v>
      </c>
      <c r="G414" s="85">
        <v>36282.1</v>
      </c>
      <c r="H414" s="82">
        <f t="shared" si="2"/>
        <v>36282.1</v>
      </c>
      <c r="I414" s="82">
        <f t="shared" si="1"/>
        <v>0</v>
      </c>
    </row>
    <row r="415" ht="12.75" customHeight="1">
      <c r="A415" s="84">
        <v>45919.0</v>
      </c>
      <c r="B415" s="85" t="s">
        <v>691</v>
      </c>
      <c r="C415" s="83" t="s">
        <v>89</v>
      </c>
      <c r="D415" s="83" t="s">
        <v>234</v>
      </c>
      <c r="E415" s="85">
        <v>5545.0</v>
      </c>
      <c r="G415" s="85">
        <v>30737.1</v>
      </c>
      <c r="H415" s="82">
        <f t="shared" si="2"/>
        <v>30737.1</v>
      </c>
      <c r="I415" s="82">
        <f t="shared" si="1"/>
        <v>0</v>
      </c>
    </row>
    <row r="416" ht="12.75" customHeight="1">
      <c r="A416" s="84">
        <v>45920.0</v>
      </c>
      <c r="B416" s="85" t="s">
        <v>692</v>
      </c>
      <c r="C416" s="82" t="s">
        <v>125</v>
      </c>
      <c r="D416" s="82" t="s">
        <v>646</v>
      </c>
      <c r="E416" s="85">
        <v>291.0</v>
      </c>
      <c r="G416" s="85">
        <v>30446.1</v>
      </c>
      <c r="H416" s="82">
        <f t="shared" si="2"/>
        <v>30446.1</v>
      </c>
      <c r="I416" s="82">
        <f t="shared" si="1"/>
        <v>0</v>
      </c>
    </row>
    <row r="417" ht="12.75" customHeight="1">
      <c r="A417" s="84">
        <v>45920.0</v>
      </c>
      <c r="B417" s="85" t="s">
        <v>693</v>
      </c>
      <c r="C417" s="83" t="s">
        <v>92</v>
      </c>
      <c r="D417" s="83" t="s">
        <v>236</v>
      </c>
      <c r="E417" s="85">
        <v>3308.0</v>
      </c>
      <c r="G417" s="85">
        <v>27138.1</v>
      </c>
      <c r="H417" s="82">
        <f t="shared" si="2"/>
        <v>27138.1</v>
      </c>
      <c r="I417" s="82">
        <f t="shared" si="1"/>
        <v>0</v>
      </c>
    </row>
    <row r="418" ht="12.75" customHeight="1">
      <c r="A418" s="84">
        <v>45922.0</v>
      </c>
      <c r="B418" s="85" t="s">
        <v>694</v>
      </c>
      <c r="C418" s="82" t="s">
        <v>173</v>
      </c>
      <c r="D418" s="82" t="s">
        <v>110</v>
      </c>
      <c r="F418" s="85">
        <v>14096.08</v>
      </c>
      <c r="G418" s="85">
        <v>41234.18</v>
      </c>
      <c r="H418" s="82">
        <f t="shared" si="2"/>
        <v>41234.18</v>
      </c>
      <c r="I418" s="82">
        <f t="shared" si="1"/>
        <v>0</v>
      </c>
    </row>
    <row r="419" ht="12.75" customHeight="1">
      <c r="A419" s="84">
        <v>45922.0</v>
      </c>
      <c r="B419" s="85" t="s">
        <v>695</v>
      </c>
      <c r="C419" s="82" t="s">
        <v>102</v>
      </c>
      <c r="D419" s="82" t="s">
        <v>696</v>
      </c>
      <c r="E419" s="85">
        <v>2360.0</v>
      </c>
      <c r="G419" s="85">
        <v>38874.18</v>
      </c>
      <c r="H419" s="82">
        <f t="shared" si="2"/>
        <v>38874.18</v>
      </c>
      <c r="I419" s="82">
        <f t="shared" si="1"/>
        <v>0</v>
      </c>
    </row>
    <row r="420" ht="12.75" customHeight="1">
      <c r="A420" s="84">
        <v>45922.0</v>
      </c>
      <c r="B420" s="85" t="s">
        <v>697</v>
      </c>
      <c r="C420" s="82" t="s">
        <v>108</v>
      </c>
      <c r="D420" s="82" t="s">
        <v>698</v>
      </c>
      <c r="E420" s="85">
        <v>730.0</v>
      </c>
      <c r="G420" s="85">
        <v>38144.18</v>
      </c>
      <c r="H420" s="82">
        <f t="shared" si="2"/>
        <v>38144.18</v>
      </c>
      <c r="I420" s="82">
        <f t="shared" si="1"/>
        <v>0</v>
      </c>
    </row>
    <row r="421" ht="12.75" customHeight="1">
      <c r="A421" s="84">
        <v>45923.0</v>
      </c>
      <c r="B421" s="85" t="s">
        <v>699</v>
      </c>
      <c r="C421" s="82" t="s">
        <v>123</v>
      </c>
      <c r="D421" s="82" t="s">
        <v>399</v>
      </c>
      <c r="E421" s="85">
        <v>15000.0</v>
      </c>
      <c r="G421" s="85">
        <v>23144.18</v>
      </c>
      <c r="H421" s="82">
        <f t="shared" si="2"/>
        <v>23144.18</v>
      </c>
      <c r="I421" s="82">
        <f t="shared" si="1"/>
        <v>0</v>
      </c>
    </row>
    <row r="422" ht="12.75" customHeight="1">
      <c r="A422" s="84">
        <v>45923.0</v>
      </c>
      <c r="B422" s="85" t="s">
        <v>700</v>
      </c>
      <c r="C422" s="82" t="s">
        <v>118</v>
      </c>
      <c r="E422" s="85">
        <v>210.0</v>
      </c>
      <c r="G422" s="85">
        <v>22934.18</v>
      </c>
      <c r="H422" s="82">
        <f t="shared" si="2"/>
        <v>22934.18</v>
      </c>
      <c r="I422" s="82">
        <f t="shared" si="1"/>
        <v>0</v>
      </c>
    </row>
    <row r="423" ht="12.75" customHeight="1">
      <c r="A423" s="84">
        <v>45923.0</v>
      </c>
      <c r="B423" s="85" t="s">
        <v>701</v>
      </c>
      <c r="C423" s="82" t="s">
        <v>118</v>
      </c>
      <c r="E423" s="85">
        <v>2058.0</v>
      </c>
      <c r="G423" s="85">
        <v>20876.18</v>
      </c>
      <c r="H423" s="82">
        <f t="shared" si="2"/>
        <v>20876.18</v>
      </c>
      <c r="I423" s="82">
        <f t="shared" si="1"/>
        <v>0</v>
      </c>
    </row>
    <row r="424" ht="12.75" customHeight="1">
      <c r="A424" s="84">
        <v>45924.0</v>
      </c>
      <c r="B424" s="85" t="s">
        <v>702</v>
      </c>
      <c r="C424" s="82" t="s">
        <v>96</v>
      </c>
      <c r="D424" s="82" t="s">
        <v>175</v>
      </c>
      <c r="E424" s="85">
        <v>8009.0</v>
      </c>
      <c r="G424" s="85">
        <v>12867.18</v>
      </c>
      <c r="H424" s="82">
        <f t="shared" si="2"/>
        <v>12867.18</v>
      </c>
      <c r="I424" s="82">
        <f t="shared" si="1"/>
        <v>0</v>
      </c>
    </row>
    <row r="425" ht="12.75" customHeight="1">
      <c r="A425" s="84">
        <v>45925.0</v>
      </c>
      <c r="B425" s="85" t="s">
        <v>703</v>
      </c>
      <c r="C425" s="82" t="s">
        <v>100</v>
      </c>
      <c r="D425" s="82" t="s">
        <v>149</v>
      </c>
      <c r="E425" s="85">
        <v>300.9</v>
      </c>
      <c r="G425" s="85">
        <v>12566.28</v>
      </c>
      <c r="H425" s="82">
        <f t="shared" si="2"/>
        <v>12566.28</v>
      </c>
      <c r="I425" s="82">
        <f t="shared" si="1"/>
        <v>0</v>
      </c>
    </row>
    <row r="426" ht="12.75" customHeight="1">
      <c r="A426" s="84">
        <v>45925.0</v>
      </c>
      <c r="B426" s="85" t="s">
        <v>704</v>
      </c>
      <c r="C426" s="82" t="s">
        <v>87</v>
      </c>
      <c r="D426" s="82" t="s">
        <v>171</v>
      </c>
      <c r="E426" s="85">
        <v>750.0</v>
      </c>
      <c r="G426" s="85">
        <v>11816.28</v>
      </c>
      <c r="H426" s="82">
        <f t="shared" si="2"/>
        <v>11816.28</v>
      </c>
      <c r="I426" s="82">
        <f t="shared" si="1"/>
        <v>0</v>
      </c>
    </row>
    <row r="427" ht="12.75" customHeight="1">
      <c r="A427" s="84">
        <v>45925.0</v>
      </c>
      <c r="B427" s="85" t="s">
        <v>705</v>
      </c>
      <c r="C427" s="82" t="s">
        <v>102</v>
      </c>
      <c r="D427" s="82" t="s">
        <v>706</v>
      </c>
      <c r="E427" s="85">
        <v>5000.0</v>
      </c>
      <c r="G427" s="85">
        <v>6816.28</v>
      </c>
      <c r="H427" s="82">
        <f t="shared" si="2"/>
        <v>6816.28</v>
      </c>
      <c r="I427" s="82">
        <f t="shared" si="1"/>
        <v>0</v>
      </c>
    </row>
    <row r="428" ht="12.75" customHeight="1">
      <c r="A428" s="84">
        <v>45926.0</v>
      </c>
      <c r="B428" s="85" t="s">
        <v>707</v>
      </c>
      <c r="C428" s="82" t="s">
        <v>118</v>
      </c>
      <c r="E428" s="85">
        <v>6500.0</v>
      </c>
      <c r="G428" s="85">
        <v>316.28</v>
      </c>
      <c r="H428" s="82">
        <f t="shared" si="2"/>
        <v>316.28</v>
      </c>
      <c r="I428" s="82">
        <f t="shared" si="1"/>
        <v>0</v>
      </c>
    </row>
    <row r="429" ht="12.75" customHeight="1">
      <c r="A429" s="84">
        <v>45926.0</v>
      </c>
      <c r="B429" s="85" t="s">
        <v>708</v>
      </c>
      <c r="C429" s="82" t="s">
        <v>105</v>
      </c>
      <c r="D429" s="82" t="s">
        <v>103</v>
      </c>
      <c r="F429" s="85">
        <v>1.0</v>
      </c>
      <c r="G429" s="85">
        <v>317.28</v>
      </c>
      <c r="H429" s="82">
        <f t="shared" si="2"/>
        <v>317.28</v>
      </c>
      <c r="I429" s="82">
        <f t="shared" si="1"/>
        <v>0</v>
      </c>
    </row>
    <row r="430" ht="12.75" customHeight="1">
      <c r="A430" s="84">
        <v>45926.0</v>
      </c>
      <c r="B430" s="85" t="s">
        <v>709</v>
      </c>
      <c r="C430" s="82" t="s">
        <v>173</v>
      </c>
      <c r="D430" s="82" t="s">
        <v>110</v>
      </c>
      <c r="F430" s="85">
        <v>6145.14</v>
      </c>
      <c r="G430" s="85">
        <v>6462.42</v>
      </c>
      <c r="H430" s="82">
        <f t="shared" si="2"/>
        <v>6462.42</v>
      </c>
      <c r="I430" s="82">
        <f t="shared" si="1"/>
        <v>0</v>
      </c>
    </row>
    <row r="431" ht="12.75" customHeight="1">
      <c r="A431" s="84">
        <v>45927.0</v>
      </c>
      <c r="B431" s="85" t="s">
        <v>710</v>
      </c>
      <c r="C431" s="82" t="s">
        <v>118</v>
      </c>
      <c r="E431" s="85">
        <v>6000.0</v>
      </c>
      <c r="G431" s="85">
        <v>462.42</v>
      </c>
      <c r="H431" s="82">
        <f t="shared" si="2"/>
        <v>462.42</v>
      </c>
      <c r="I431" s="82">
        <f t="shared" si="1"/>
        <v>0</v>
      </c>
    </row>
    <row r="432" ht="12.75" customHeight="1">
      <c r="A432" s="84">
        <v>45927.0</v>
      </c>
      <c r="B432" s="85" t="s">
        <v>711</v>
      </c>
      <c r="C432" s="82" t="s">
        <v>104</v>
      </c>
      <c r="D432" s="82" t="s">
        <v>104</v>
      </c>
      <c r="E432" s="85">
        <v>5.9</v>
      </c>
      <c r="G432" s="85">
        <v>456.52</v>
      </c>
      <c r="H432" s="82">
        <f t="shared" si="2"/>
        <v>456.52</v>
      </c>
      <c r="I432" s="82">
        <f t="shared" si="1"/>
        <v>0</v>
      </c>
    </row>
    <row r="433" ht="12.75" customHeight="1">
      <c r="A433" s="87">
        <v>45929.0</v>
      </c>
      <c r="B433" s="88" t="s">
        <v>712</v>
      </c>
      <c r="C433" s="89" t="s">
        <v>242</v>
      </c>
      <c r="D433" s="89" t="s">
        <v>713</v>
      </c>
      <c r="E433" s="90">
        <v>450.0</v>
      </c>
      <c r="F433" s="12"/>
      <c r="G433" s="90">
        <v>6.52</v>
      </c>
      <c r="H433" s="82">
        <f t="shared" si="2"/>
        <v>6.52</v>
      </c>
      <c r="I433" s="82">
        <f t="shared" si="1"/>
        <v>0</v>
      </c>
    </row>
    <row r="434" ht="12.75" customHeight="1">
      <c r="A434" s="87">
        <v>45930.0</v>
      </c>
      <c r="B434" s="88" t="s">
        <v>714</v>
      </c>
      <c r="C434" s="89" t="s">
        <v>120</v>
      </c>
      <c r="D434" s="89" t="s">
        <v>197</v>
      </c>
      <c r="E434" s="12"/>
      <c r="F434" s="90">
        <v>1600.0</v>
      </c>
      <c r="G434" s="90">
        <v>1606.52</v>
      </c>
      <c r="H434" s="82">
        <f t="shared" si="2"/>
        <v>1606.52</v>
      </c>
      <c r="I434" s="82">
        <f t="shared" si="1"/>
        <v>0</v>
      </c>
    </row>
    <row r="435" ht="12.75" customHeight="1">
      <c r="A435" s="87">
        <v>45930.0</v>
      </c>
      <c r="B435" s="88" t="s">
        <v>715</v>
      </c>
      <c r="C435" s="89" t="s">
        <v>120</v>
      </c>
      <c r="D435" s="89" t="s">
        <v>197</v>
      </c>
      <c r="E435" s="12"/>
      <c r="F435" s="90">
        <v>14400.0</v>
      </c>
      <c r="G435" s="90">
        <v>16006.52</v>
      </c>
      <c r="H435" s="82">
        <f t="shared" si="2"/>
        <v>16006.52</v>
      </c>
      <c r="I435" s="82">
        <f t="shared" si="1"/>
        <v>0</v>
      </c>
    </row>
    <row r="436" ht="12.75" customHeight="1">
      <c r="A436" s="87">
        <v>45930.0</v>
      </c>
      <c r="B436" s="88" t="s">
        <v>716</v>
      </c>
      <c r="C436" s="89" t="s">
        <v>120</v>
      </c>
      <c r="D436" s="89" t="s">
        <v>197</v>
      </c>
      <c r="E436" s="12"/>
      <c r="F436" s="90">
        <v>100.0</v>
      </c>
      <c r="G436" s="90">
        <v>16106.52</v>
      </c>
      <c r="H436" s="82">
        <f t="shared" si="2"/>
        <v>16106.52</v>
      </c>
      <c r="I436" s="82">
        <f t="shared" si="1"/>
        <v>0</v>
      </c>
    </row>
    <row r="437" ht="12.75" customHeight="1">
      <c r="A437" s="87">
        <v>45930.0</v>
      </c>
      <c r="B437" s="88" t="s">
        <v>717</v>
      </c>
      <c r="C437" s="89" t="s">
        <v>123</v>
      </c>
      <c r="D437" s="89" t="s">
        <v>399</v>
      </c>
      <c r="E437" s="90">
        <v>221.0</v>
      </c>
      <c r="F437" s="12"/>
      <c r="G437" s="90">
        <v>15885.52</v>
      </c>
      <c r="H437" s="82">
        <f t="shared" si="2"/>
        <v>15885.52</v>
      </c>
      <c r="I437" s="82">
        <f t="shared" si="1"/>
        <v>0</v>
      </c>
    </row>
    <row r="438" ht="12.75" customHeight="1">
      <c r="A438" s="87">
        <v>45930.0</v>
      </c>
      <c r="B438" s="88" t="s">
        <v>718</v>
      </c>
      <c r="C438" s="89" t="s">
        <v>118</v>
      </c>
      <c r="D438" s="91"/>
      <c r="E438" s="90">
        <v>30.0</v>
      </c>
      <c r="F438" s="12"/>
      <c r="G438" s="90">
        <v>15855.52</v>
      </c>
      <c r="H438" s="82">
        <f t="shared" si="2"/>
        <v>15855.52</v>
      </c>
      <c r="I438" s="82">
        <f t="shared" si="1"/>
        <v>0</v>
      </c>
    </row>
    <row r="439" ht="12.75" customHeight="1">
      <c r="A439" s="87">
        <v>45930.0</v>
      </c>
      <c r="B439" s="88" t="s">
        <v>719</v>
      </c>
      <c r="C439" s="89" t="s">
        <v>146</v>
      </c>
      <c r="D439" s="89" t="s">
        <v>147</v>
      </c>
      <c r="E439" s="12"/>
      <c r="F439" s="90">
        <v>132374.0</v>
      </c>
      <c r="G439" s="90">
        <v>148229.52</v>
      </c>
      <c r="H439" s="82">
        <f t="shared" si="2"/>
        <v>148229.52</v>
      </c>
      <c r="I439" s="82">
        <f t="shared" si="1"/>
        <v>0</v>
      </c>
    </row>
    <row r="440" ht="12.75" customHeight="1">
      <c r="A440" s="87">
        <v>45931.0</v>
      </c>
      <c r="B440" s="88" t="s">
        <v>720</v>
      </c>
      <c r="C440" s="89" t="s">
        <v>83</v>
      </c>
      <c r="D440" s="89" t="s">
        <v>160</v>
      </c>
      <c r="E440" s="90">
        <v>97992.0</v>
      </c>
      <c r="F440" s="12"/>
      <c r="G440" s="90">
        <v>50237.52</v>
      </c>
      <c r="H440" s="82">
        <f t="shared" si="2"/>
        <v>50237.52</v>
      </c>
      <c r="I440" s="82">
        <f t="shared" si="1"/>
        <v>0</v>
      </c>
    </row>
    <row r="441" ht="12.75" customHeight="1">
      <c r="A441" s="87">
        <v>45931.0</v>
      </c>
      <c r="B441" s="88" t="s">
        <v>721</v>
      </c>
      <c r="C441" s="92" t="s">
        <v>92</v>
      </c>
      <c r="D441" s="92" t="s">
        <v>236</v>
      </c>
      <c r="E441" s="90">
        <v>3162.0</v>
      </c>
      <c r="F441" s="12"/>
      <c r="G441" s="90">
        <v>47075.52</v>
      </c>
      <c r="H441" s="82">
        <f t="shared" si="2"/>
        <v>47075.52</v>
      </c>
      <c r="I441" s="82">
        <f t="shared" si="1"/>
        <v>0</v>
      </c>
    </row>
    <row r="442" ht="12.75" customHeight="1">
      <c r="A442" s="87">
        <v>45936.0</v>
      </c>
      <c r="B442" s="88" t="s">
        <v>722</v>
      </c>
      <c r="C442" s="89" t="s">
        <v>104</v>
      </c>
      <c r="D442" s="89" t="s">
        <v>104</v>
      </c>
      <c r="E442" s="90">
        <v>7.56</v>
      </c>
      <c r="F442" s="12"/>
      <c r="G442" s="90">
        <v>47067.96</v>
      </c>
      <c r="H442" s="82">
        <f t="shared" si="2"/>
        <v>47067.96</v>
      </c>
      <c r="I442" s="82">
        <f t="shared" si="1"/>
        <v>0</v>
      </c>
    </row>
    <row r="443" ht="12.75" customHeight="1">
      <c r="A443" s="87">
        <v>45936.0</v>
      </c>
      <c r="B443" s="88" t="s">
        <v>723</v>
      </c>
      <c r="C443" s="89" t="s">
        <v>91</v>
      </c>
      <c r="D443" s="89" t="s">
        <v>162</v>
      </c>
      <c r="E443" s="90">
        <v>18875.0</v>
      </c>
      <c r="F443" s="12"/>
      <c r="G443" s="90">
        <v>28192.96</v>
      </c>
      <c r="H443" s="82">
        <f t="shared" si="2"/>
        <v>28192.96</v>
      </c>
      <c r="I443" s="82">
        <f t="shared" si="1"/>
        <v>0</v>
      </c>
    </row>
    <row r="444" ht="12.75" customHeight="1">
      <c r="A444" s="87">
        <v>45936.0</v>
      </c>
      <c r="B444" s="88" t="s">
        <v>724</v>
      </c>
      <c r="C444" s="89" t="s">
        <v>98</v>
      </c>
      <c r="D444" s="89" t="s">
        <v>725</v>
      </c>
      <c r="E444" s="90">
        <v>2000.0</v>
      </c>
      <c r="F444" s="12"/>
      <c r="G444" s="90">
        <v>26192.96</v>
      </c>
      <c r="H444" s="82">
        <f t="shared" si="2"/>
        <v>26192.96</v>
      </c>
      <c r="I444" s="82">
        <f t="shared" si="1"/>
        <v>0</v>
      </c>
    </row>
    <row r="445" ht="12.75" customHeight="1">
      <c r="A445" s="87">
        <v>45936.0</v>
      </c>
      <c r="B445" s="88" t="s">
        <v>726</v>
      </c>
      <c r="C445" s="89" t="s">
        <v>91</v>
      </c>
      <c r="D445" s="89" t="s">
        <v>260</v>
      </c>
      <c r="E445" s="90">
        <v>13875.0</v>
      </c>
      <c r="F445" s="12"/>
      <c r="G445" s="90">
        <v>12317.96</v>
      </c>
      <c r="H445" s="82">
        <f t="shared" si="2"/>
        <v>12317.96</v>
      </c>
      <c r="I445" s="82">
        <f t="shared" si="1"/>
        <v>0</v>
      </c>
    </row>
    <row r="446" ht="12.75" customHeight="1">
      <c r="A446" s="87">
        <v>45936.0</v>
      </c>
      <c r="B446" s="88" t="s">
        <v>727</v>
      </c>
      <c r="C446" s="89" t="s">
        <v>120</v>
      </c>
      <c r="D446" s="89" t="s">
        <v>197</v>
      </c>
      <c r="E446" s="12"/>
      <c r="F446" s="90">
        <v>4000.0</v>
      </c>
      <c r="G446" s="90">
        <v>16317.96</v>
      </c>
      <c r="H446" s="82">
        <f t="shared" si="2"/>
        <v>16317.96</v>
      </c>
      <c r="I446" s="82">
        <f t="shared" si="1"/>
        <v>0</v>
      </c>
    </row>
    <row r="447" ht="12.75" customHeight="1">
      <c r="A447" s="87">
        <v>45936.0</v>
      </c>
      <c r="B447" s="88" t="s">
        <v>728</v>
      </c>
      <c r="C447" s="89" t="s">
        <v>173</v>
      </c>
      <c r="D447" s="89" t="s">
        <v>110</v>
      </c>
      <c r="E447" s="12"/>
      <c r="F447" s="90">
        <v>103005.64</v>
      </c>
      <c r="G447" s="90">
        <v>119323.6</v>
      </c>
      <c r="H447" s="82">
        <f t="shared" si="2"/>
        <v>119323.6</v>
      </c>
      <c r="I447" s="82">
        <f t="shared" si="1"/>
        <v>0</v>
      </c>
    </row>
    <row r="448" ht="12.75" customHeight="1">
      <c r="A448" s="87">
        <v>45937.0</v>
      </c>
      <c r="B448" s="89" t="s">
        <v>729</v>
      </c>
      <c r="C448" s="89" t="s">
        <v>105</v>
      </c>
      <c r="D448" s="89" t="s">
        <v>730</v>
      </c>
      <c r="E448" s="12"/>
      <c r="F448" s="90">
        <v>5.0</v>
      </c>
      <c r="G448" s="90">
        <v>119328.6</v>
      </c>
      <c r="H448" s="82">
        <f t="shared" si="2"/>
        <v>119328.6</v>
      </c>
      <c r="I448" s="82">
        <f t="shared" si="1"/>
        <v>0</v>
      </c>
    </row>
    <row r="449" ht="12.75" customHeight="1">
      <c r="A449" s="87">
        <v>45937.0</v>
      </c>
      <c r="B449" s="88" t="s">
        <v>731</v>
      </c>
      <c r="C449" s="89" t="s">
        <v>123</v>
      </c>
      <c r="D449" s="89" t="s">
        <v>399</v>
      </c>
      <c r="E449" s="90">
        <v>1200.0</v>
      </c>
      <c r="F449" s="12"/>
      <c r="G449" s="90">
        <v>118128.6</v>
      </c>
      <c r="H449" s="82">
        <f t="shared" si="2"/>
        <v>118128.6</v>
      </c>
      <c r="I449" s="82">
        <f t="shared" si="1"/>
        <v>0</v>
      </c>
    </row>
    <row r="450" ht="12.75" customHeight="1">
      <c r="A450" s="87">
        <v>45937.0</v>
      </c>
      <c r="B450" s="88" t="s">
        <v>732</v>
      </c>
      <c r="C450" s="89" t="s">
        <v>118</v>
      </c>
      <c r="D450" s="89" t="s">
        <v>118</v>
      </c>
      <c r="E450" s="12"/>
      <c r="F450" s="90">
        <v>2500.0</v>
      </c>
      <c r="G450" s="90">
        <v>120628.6</v>
      </c>
      <c r="H450" s="82">
        <f t="shared" si="2"/>
        <v>120628.6</v>
      </c>
      <c r="I450" s="82">
        <f t="shared" si="1"/>
        <v>0</v>
      </c>
    </row>
    <row r="451" ht="12.75" customHeight="1">
      <c r="A451" s="87">
        <v>45937.0</v>
      </c>
      <c r="B451" s="88" t="s">
        <v>733</v>
      </c>
      <c r="C451" s="89" t="s">
        <v>118</v>
      </c>
      <c r="D451" s="89" t="s">
        <v>118</v>
      </c>
      <c r="E451" s="90">
        <v>20000.0</v>
      </c>
      <c r="F451" s="12"/>
      <c r="G451" s="90">
        <v>100628.6</v>
      </c>
      <c r="H451" s="82">
        <f t="shared" si="2"/>
        <v>100628.6</v>
      </c>
      <c r="I451" s="82">
        <f t="shared" si="1"/>
        <v>0</v>
      </c>
    </row>
    <row r="452" ht="12.75" customHeight="1">
      <c r="A452" s="87">
        <v>45937.0</v>
      </c>
      <c r="B452" s="89" t="s">
        <v>734</v>
      </c>
      <c r="C452" s="92" t="s">
        <v>97</v>
      </c>
      <c r="D452" s="92" t="s">
        <v>166</v>
      </c>
      <c r="E452" s="90">
        <v>1534.0</v>
      </c>
      <c r="F452" s="12"/>
      <c r="G452" s="90">
        <v>99094.6</v>
      </c>
      <c r="H452" s="82">
        <f t="shared" si="2"/>
        <v>99094.6</v>
      </c>
      <c r="I452" s="82">
        <f t="shared" si="1"/>
        <v>0</v>
      </c>
    </row>
    <row r="453" ht="12.75" customHeight="1">
      <c r="A453" s="87">
        <v>45937.0</v>
      </c>
      <c r="B453" s="88" t="s">
        <v>735</v>
      </c>
      <c r="C453" s="92" t="s">
        <v>89</v>
      </c>
      <c r="D453" s="92" t="s">
        <v>736</v>
      </c>
      <c r="E453" s="90">
        <v>14000.0</v>
      </c>
      <c r="F453" s="12"/>
      <c r="G453" s="90">
        <v>85094.6</v>
      </c>
      <c r="H453" s="82">
        <f t="shared" si="2"/>
        <v>85094.6</v>
      </c>
      <c r="I453" s="82">
        <f t="shared" si="1"/>
        <v>0</v>
      </c>
    </row>
    <row r="454" ht="12.75" customHeight="1">
      <c r="A454" s="87">
        <v>45938.0</v>
      </c>
      <c r="B454" s="88" t="s">
        <v>737</v>
      </c>
      <c r="C454" s="92" t="s">
        <v>106</v>
      </c>
      <c r="D454" s="92" t="s">
        <v>274</v>
      </c>
      <c r="E454" s="90">
        <v>7080.0</v>
      </c>
      <c r="F454" s="12"/>
      <c r="G454" s="90">
        <v>78014.6</v>
      </c>
      <c r="H454" s="82">
        <f t="shared" si="2"/>
        <v>78014.6</v>
      </c>
      <c r="I454" s="82">
        <f t="shared" si="1"/>
        <v>0</v>
      </c>
    </row>
    <row r="455" ht="12.75" customHeight="1">
      <c r="A455" s="84">
        <v>45940.0</v>
      </c>
      <c r="B455" s="88" t="s">
        <v>738</v>
      </c>
      <c r="C455" s="92" t="s">
        <v>104</v>
      </c>
      <c r="D455" s="92" t="s">
        <v>739</v>
      </c>
      <c r="E455" s="90">
        <v>413.0</v>
      </c>
      <c r="F455" s="12"/>
      <c r="G455" s="90">
        <v>77601.6</v>
      </c>
      <c r="H455" s="82">
        <f t="shared" si="2"/>
        <v>77601.6</v>
      </c>
      <c r="I455" s="82">
        <f t="shared" si="1"/>
        <v>0</v>
      </c>
    </row>
    <row r="456" ht="12.75" customHeight="1">
      <c r="A456" s="84">
        <v>45940.0</v>
      </c>
      <c r="B456" s="88" t="s">
        <v>740</v>
      </c>
      <c r="C456" s="89" t="s">
        <v>87</v>
      </c>
      <c r="D456" s="89" t="s">
        <v>155</v>
      </c>
      <c r="E456" s="90">
        <v>5760.0</v>
      </c>
      <c r="F456" s="12"/>
      <c r="G456" s="90">
        <v>71841.6</v>
      </c>
      <c r="H456" s="82">
        <f t="shared" si="2"/>
        <v>71841.6</v>
      </c>
      <c r="I456" s="82">
        <f t="shared" si="1"/>
        <v>0</v>
      </c>
    </row>
    <row r="457" ht="12.75" customHeight="1">
      <c r="A457" s="84">
        <v>45940.0</v>
      </c>
      <c r="B457" s="88" t="s">
        <v>741</v>
      </c>
      <c r="C457" s="92" t="s">
        <v>98</v>
      </c>
      <c r="D457" s="92" t="s">
        <v>742</v>
      </c>
      <c r="E457" s="90">
        <v>10000.0</v>
      </c>
      <c r="F457" s="12"/>
      <c r="G457" s="90">
        <v>61841.6</v>
      </c>
      <c r="H457" s="82">
        <f t="shared" si="2"/>
        <v>61841.6</v>
      </c>
      <c r="I457" s="82">
        <f t="shared" si="1"/>
        <v>0</v>
      </c>
    </row>
    <row r="458" ht="12.75" customHeight="1">
      <c r="A458" s="84">
        <v>45940.0</v>
      </c>
      <c r="B458" s="88" t="s">
        <v>209</v>
      </c>
      <c r="C458" s="89" t="s">
        <v>93</v>
      </c>
      <c r="D458" s="89" t="s">
        <v>743</v>
      </c>
      <c r="E458" s="90">
        <v>16065.0</v>
      </c>
      <c r="F458" s="12"/>
      <c r="G458" s="90">
        <v>45776.6</v>
      </c>
      <c r="H458" s="82">
        <f t="shared" si="2"/>
        <v>45776.6</v>
      </c>
      <c r="I458" s="82">
        <f t="shared" si="1"/>
        <v>0</v>
      </c>
    </row>
    <row r="459" ht="12.75" customHeight="1">
      <c r="A459" s="84">
        <v>45940.0</v>
      </c>
      <c r="B459" s="88" t="s">
        <v>744</v>
      </c>
      <c r="C459" s="92" t="s">
        <v>100</v>
      </c>
      <c r="D459" s="92" t="s">
        <v>149</v>
      </c>
      <c r="E459" s="90">
        <v>300.9</v>
      </c>
      <c r="F459" s="12"/>
      <c r="G459" s="90">
        <v>45475.7</v>
      </c>
      <c r="H459" s="82">
        <f t="shared" si="2"/>
        <v>45475.7</v>
      </c>
      <c r="I459" s="82">
        <f t="shared" si="1"/>
        <v>0</v>
      </c>
    </row>
    <row r="460" ht="12.75" customHeight="1">
      <c r="A460" s="87">
        <v>45943.0</v>
      </c>
      <c r="B460" s="89" t="s">
        <v>745</v>
      </c>
      <c r="C460" s="89" t="s">
        <v>88</v>
      </c>
      <c r="D460" s="89" t="s">
        <v>230</v>
      </c>
      <c r="E460" s="90">
        <v>5313.54</v>
      </c>
      <c r="F460" s="12"/>
      <c r="G460" s="90">
        <v>40162.16</v>
      </c>
      <c r="H460" s="82">
        <f t="shared" si="2"/>
        <v>40162.16</v>
      </c>
      <c r="I460" s="82">
        <f t="shared" si="1"/>
        <v>0</v>
      </c>
    </row>
    <row r="461" ht="12.75" customHeight="1">
      <c r="A461" s="87">
        <v>45943.0</v>
      </c>
      <c r="B461" s="88" t="s">
        <v>746</v>
      </c>
      <c r="C461" s="89" t="s">
        <v>88</v>
      </c>
      <c r="D461" s="89" t="s">
        <v>205</v>
      </c>
      <c r="E461" s="90">
        <v>1712.72</v>
      </c>
      <c r="F461" s="12"/>
      <c r="G461" s="90">
        <v>38449.44</v>
      </c>
      <c r="H461" s="82">
        <f t="shared" si="2"/>
        <v>38449.44</v>
      </c>
      <c r="I461" s="82">
        <f t="shared" si="1"/>
        <v>0</v>
      </c>
    </row>
    <row r="462" ht="12.75" customHeight="1">
      <c r="A462" s="87">
        <v>45943.0</v>
      </c>
      <c r="B462" s="89" t="s">
        <v>747</v>
      </c>
      <c r="C462" s="89" t="s">
        <v>88</v>
      </c>
      <c r="D462" s="89" t="s">
        <v>205</v>
      </c>
      <c r="E462" s="90">
        <v>1653.72</v>
      </c>
      <c r="F462" s="12"/>
      <c r="G462" s="90">
        <v>36795.72</v>
      </c>
      <c r="H462" s="82">
        <f t="shared" si="2"/>
        <v>36795.72</v>
      </c>
      <c r="I462" s="82">
        <f t="shared" si="1"/>
        <v>0</v>
      </c>
    </row>
    <row r="463" ht="12.75" customHeight="1">
      <c r="A463" s="87">
        <v>45943.0</v>
      </c>
      <c r="B463" s="88" t="s">
        <v>748</v>
      </c>
      <c r="C463" s="89" t="s">
        <v>125</v>
      </c>
      <c r="D463" s="89" t="s">
        <v>603</v>
      </c>
      <c r="E463" s="90">
        <v>473.07</v>
      </c>
      <c r="F463" s="12"/>
      <c r="G463" s="90">
        <v>36322.65</v>
      </c>
      <c r="H463" s="82">
        <f t="shared" si="2"/>
        <v>36322.65</v>
      </c>
      <c r="I463" s="82">
        <f t="shared" si="1"/>
        <v>0</v>
      </c>
    </row>
    <row r="464" ht="12.75" customHeight="1">
      <c r="A464" s="87">
        <v>45943.0</v>
      </c>
      <c r="B464" s="88" t="s">
        <v>749</v>
      </c>
      <c r="C464" s="89" t="s">
        <v>85</v>
      </c>
      <c r="D464" s="89" t="s">
        <v>151</v>
      </c>
      <c r="E464" s="90">
        <v>23957.0</v>
      </c>
      <c r="F464" s="12"/>
      <c r="G464" s="90">
        <v>12365.65</v>
      </c>
      <c r="H464" s="82">
        <f t="shared" si="2"/>
        <v>12365.65</v>
      </c>
      <c r="I464" s="82">
        <f t="shared" si="1"/>
        <v>0</v>
      </c>
    </row>
    <row r="465" ht="12.75" customHeight="1">
      <c r="A465" s="87">
        <v>45943.0</v>
      </c>
      <c r="B465" s="88" t="s">
        <v>750</v>
      </c>
      <c r="C465" s="89" t="s">
        <v>85</v>
      </c>
      <c r="D465" s="89" t="s">
        <v>151</v>
      </c>
      <c r="E465" s="90">
        <v>4165.0</v>
      </c>
      <c r="F465" s="12"/>
      <c r="G465" s="90">
        <v>8200.65</v>
      </c>
      <c r="H465" s="82">
        <f t="shared" si="2"/>
        <v>8200.65</v>
      </c>
      <c r="I465" s="82">
        <f t="shared" si="1"/>
        <v>0</v>
      </c>
    </row>
    <row r="466" ht="12.75" customHeight="1">
      <c r="A466" s="87">
        <v>45943.0</v>
      </c>
      <c r="B466" s="88" t="s">
        <v>751</v>
      </c>
      <c r="C466" s="89" t="s">
        <v>120</v>
      </c>
      <c r="D466" s="89" t="s">
        <v>197</v>
      </c>
      <c r="E466" s="12"/>
      <c r="F466" s="90">
        <v>165000.0</v>
      </c>
      <c r="G466" s="90">
        <v>173200.65</v>
      </c>
      <c r="H466" s="82">
        <f t="shared" si="2"/>
        <v>173200.65</v>
      </c>
      <c r="I466" s="82">
        <f t="shared" si="1"/>
        <v>0</v>
      </c>
    </row>
    <row r="467" ht="12.75" customHeight="1">
      <c r="A467" s="87">
        <v>45943.0</v>
      </c>
      <c r="B467" s="88" t="s">
        <v>752</v>
      </c>
      <c r="C467" s="89" t="s">
        <v>96</v>
      </c>
      <c r="D467" s="89" t="s">
        <v>175</v>
      </c>
      <c r="E467" s="90">
        <v>129777.0</v>
      </c>
      <c r="F467" s="12"/>
      <c r="G467" s="90">
        <v>43423.65</v>
      </c>
      <c r="H467" s="82">
        <f t="shared" si="2"/>
        <v>43423.65</v>
      </c>
      <c r="I467" s="82">
        <f t="shared" si="1"/>
        <v>0</v>
      </c>
    </row>
    <row r="468" ht="12.75" customHeight="1">
      <c r="A468" s="87">
        <v>45943.0</v>
      </c>
      <c r="B468" s="88" t="s">
        <v>753</v>
      </c>
      <c r="C468" s="89" t="s">
        <v>98</v>
      </c>
      <c r="D468" s="89" t="s">
        <v>343</v>
      </c>
      <c r="E468" s="90">
        <v>7000.0</v>
      </c>
      <c r="F468" s="12"/>
      <c r="G468" s="90">
        <v>36423.65</v>
      </c>
      <c r="H468" s="82">
        <f t="shared" si="2"/>
        <v>36423.65</v>
      </c>
      <c r="I468" s="82">
        <f t="shared" si="1"/>
        <v>0</v>
      </c>
    </row>
    <row r="469" ht="12.75" customHeight="1">
      <c r="A469" s="87">
        <v>45943.0</v>
      </c>
      <c r="B469" s="88" t="s">
        <v>754</v>
      </c>
      <c r="C469" s="89" t="s">
        <v>98</v>
      </c>
      <c r="D469" s="89" t="s">
        <v>668</v>
      </c>
      <c r="E469" s="90">
        <v>6708.0</v>
      </c>
      <c r="F469" s="12"/>
      <c r="G469" s="90">
        <v>29715.65</v>
      </c>
      <c r="H469" s="82">
        <f t="shared" si="2"/>
        <v>29715.65</v>
      </c>
      <c r="I469" s="82">
        <f t="shared" si="1"/>
        <v>0</v>
      </c>
    </row>
    <row r="470" ht="12.75" customHeight="1">
      <c r="A470" s="87">
        <v>45943.0</v>
      </c>
      <c r="B470" s="88" t="s">
        <v>755</v>
      </c>
      <c r="C470" s="89" t="s">
        <v>98</v>
      </c>
      <c r="D470" s="89" t="s">
        <v>676</v>
      </c>
      <c r="E470" s="90">
        <v>4958.0</v>
      </c>
      <c r="F470" s="12"/>
      <c r="G470" s="90">
        <v>24757.65</v>
      </c>
      <c r="H470" s="82">
        <f t="shared" si="2"/>
        <v>24757.65</v>
      </c>
      <c r="I470" s="82">
        <f t="shared" si="1"/>
        <v>0</v>
      </c>
    </row>
    <row r="471" ht="12.75" customHeight="1">
      <c r="A471" s="87">
        <v>45943.0</v>
      </c>
      <c r="B471" s="88" t="s">
        <v>756</v>
      </c>
      <c r="C471" s="89" t="s">
        <v>98</v>
      </c>
      <c r="D471" s="89" t="s">
        <v>664</v>
      </c>
      <c r="E471" s="90">
        <v>6125.0</v>
      </c>
      <c r="F471" s="12"/>
      <c r="G471" s="90">
        <v>18632.65</v>
      </c>
      <c r="H471" s="82">
        <f t="shared" si="2"/>
        <v>18632.65</v>
      </c>
      <c r="I471" s="82">
        <f t="shared" si="1"/>
        <v>0</v>
      </c>
    </row>
    <row r="472" ht="12.75" customHeight="1">
      <c r="A472" s="87">
        <v>45944.0</v>
      </c>
      <c r="B472" s="88" t="s">
        <v>757</v>
      </c>
      <c r="C472" s="89" t="s">
        <v>98</v>
      </c>
      <c r="D472" s="89" t="s">
        <v>183</v>
      </c>
      <c r="E472" s="90">
        <v>8091.0</v>
      </c>
      <c r="F472" s="12"/>
      <c r="G472" s="90">
        <v>10541.65</v>
      </c>
      <c r="H472" s="82">
        <f t="shared" si="2"/>
        <v>10541.65</v>
      </c>
      <c r="I472" s="82">
        <f t="shared" si="1"/>
        <v>0</v>
      </c>
    </row>
    <row r="473" ht="12.75" customHeight="1">
      <c r="A473" s="87">
        <v>45944.0</v>
      </c>
      <c r="B473" s="88" t="s">
        <v>758</v>
      </c>
      <c r="C473" s="89" t="s">
        <v>118</v>
      </c>
      <c r="D473" s="88" t="s">
        <v>759</v>
      </c>
      <c r="E473" s="90">
        <v>1500.0</v>
      </c>
      <c r="F473" s="12"/>
      <c r="G473" s="90">
        <v>9041.65</v>
      </c>
      <c r="H473" s="82">
        <f t="shared" si="2"/>
        <v>9041.65</v>
      </c>
      <c r="I473" s="82">
        <f t="shared" si="1"/>
        <v>0</v>
      </c>
    </row>
    <row r="474" ht="12.75" customHeight="1">
      <c r="A474" s="87">
        <v>45944.0</v>
      </c>
      <c r="B474" s="88" t="s">
        <v>760</v>
      </c>
      <c r="C474" s="89" t="s">
        <v>118</v>
      </c>
      <c r="D474" s="88" t="s">
        <v>759</v>
      </c>
      <c r="E474" s="90">
        <v>1600.0</v>
      </c>
      <c r="F474" s="12"/>
      <c r="G474" s="90">
        <v>7441.65</v>
      </c>
      <c r="H474" s="82">
        <f t="shared" si="2"/>
        <v>7441.65</v>
      </c>
      <c r="I474" s="82">
        <f t="shared" si="1"/>
        <v>0</v>
      </c>
    </row>
    <row r="475" ht="12.75" customHeight="1">
      <c r="A475" s="87">
        <v>45944.0</v>
      </c>
      <c r="B475" s="88" t="s">
        <v>761</v>
      </c>
      <c r="C475" s="89" t="s">
        <v>124</v>
      </c>
      <c r="D475" s="89" t="s">
        <v>762</v>
      </c>
      <c r="E475" s="90">
        <v>4258.0</v>
      </c>
      <c r="F475" s="12"/>
      <c r="G475" s="90">
        <v>3183.65</v>
      </c>
      <c r="H475" s="82">
        <f t="shared" si="2"/>
        <v>3183.65</v>
      </c>
      <c r="I475" s="82">
        <f t="shared" si="1"/>
        <v>0</v>
      </c>
    </row>
    <row r="476" ht="12.75" customHeight="1">
      <c r="A476" s="87">
        <v>45944.0</v>
      </c>
      <c r="B476" s="88" t="s">
        <v>763</v>
      </c>
      <c r="C476" s="89" t="s">
        <v>173</v>
      </c>
      <c r="D476" s="89" t="s">
        <v>764</v>
      </c>
      <c r="E476" s="12"/>
      <c r="F476" s="90">
        <v>11800.0</v>
      </c>
      <c r="G476" s="90">
        <v>14983.65</v>
      </c>
      <c r="H476" s="82">
        <f t="shared" si="2"/>
        <v>14983.65</v>
      </c>
      <c r="I476" s="82">
        <f t="shared" si="1"/>
        <v>0</v>
      </c>
    </row>
    <row r="477" ht="12.75" customHeight="1">
      <c r="A477" s="87">
        <v>45946.0</v>
      </c>
      <c r="B477" s="88" t="s">
        <v>765</v>
      </c>
      <c r="C477" s="89" t="s">
        <v>123</v>
      </c>
      <c r="D477" s="12"/>
      <c r="E477" s="90">
        <v>300.0</v>
      </c>
      <c r="F477" s="12"/>
      <c r="G477" s="90">
        <v>14683.65</v>
      </c>
      <c r="H477" s="82">
        <f t="shared" si="2"/>
        <v>14683.65</v>
      </c>
      <c r="I477" s="82">
        <f t="shared" si="1"/>
        <v>0</v>
      </c>
    </row>
    <row r="478" ht="12.75" customHeight="1">
      <c r="A478" s="87">
        <v>45946.0</v>
      </c>
      <c r="B478" s="88" t="s">
        <v>766</v>
      </c>
      <c r="C478" s="89" t="s">
        <v>106</v>
      </c>
      <c r="D478" s="92" t="s">
        <v>274</v>
      </c>
      <c r="E478" s="90">
        <v>826.0</v>
      </c>
      <c r="F478" s="12"/>
      <c r="G478" s="90">
        <v>13857.65</v>
      </c>
      <c r="H478" s="82">
        <f t="shared" si="2"/>
        <v>13857.65</v>
      </c>
      <c r="I478" s="82">
        <f t="shared" si="1"/>
        <v>0</v>
      </c>
    </row>
    <row r="479" ht="12.75" customHeight="1">
      <c r="A479" s="87">
        <v>45947.0</v>
      </c>
      <c r="B479" s="88" t="s">
        <v>767</v>
      </c>
      <c r="C479" s="89" t="s">
        <v>120</v>
      </c>
      <c r="D479" s="89" t="s">
        <v>768</v>
      </c>
      <c r="E479" s="90">
        <v>10000.0</v>
      </c>
      <c r="F479" s="12"/>
      <c r="G479" s="90">
        <v>3857.65</v>
      </c>
      <c r="H479" s="82">
        <f t="shared" si="2"/>
        <v>3857.65</v>
      </c>
      <c r="I479" s="82">
        <f t="shared" si="1"/>
        <v>0</v>
      </c>
    </row>
    <row r="480" ht="12.75" customHeight="1">
      <c r="A480" s="87">
        <v>45947.0</v>
      </c>
      <c r="B480" s="93" t="s">
        <v>769</v>
      </c>
      <c r="C480" s="89" t="s">
        <v>173</v>
      </c>
      <c r="D480" s="89" t="s">
        <v>128</v>
      </c>
      <c r="E480" s="12"/>
      <c r="F480" s="90">
        <v>100000.0</v>
      </c>
      <c r="G480" s="90">
        <v>103857.65</v>
      </c>
      <c r="H480" s="82">
        <f t="shared" si="2"/>
        <v>103857.65</v>
      </c>
      <c r="I480" s="82">
        <f t="shared" si="1"/>
        <v>0</v>
      </c>
    </row>
    <row r="481" ht="12.75" customHeight="1">
      <c r="A481" s="87">
        <v>45947.0</v>
      </c>
      <c r="B481" s="88" t="s">
        <v>770</v>
      </c>
      <c r="C481" s="89" t="s">
        <v>86</v>
      </c>
      <c r="D481" s="89" t="s">
        <v>771</v>
      </c>
      <c r="E481" s="90">
        <v>27958.0</v>
      </c>
      <c r="F481" s="12"/>
      <c r="G481" s="90">
        <v>75899.65</v>
      </c>
      <c r="H481" s="82">
        <f t="shared" si="2"/>
        <v>75899.65</v>
      </c>
      <c r="I481" s="82">
        <f t="shared" si="1"/>
        <v>0</v>
      </c>
    </row>
    <row r="482" ht="12.75" customHeight="1">
      <c r="A482" s="87">
        <v>45948.0</v>
      </c>
      <c r="B482" s="88" t="s">
        <v>772</v>
      </c>
      <c r="C482" s="89" t="s">
        <v>146</v>
      </c>
      <c r="D482" s="89" t="s">
        <v>147</v>
      </c>
      <c r="E482" s="12"/>
      <c r="F482" s="90">
        <v>131089.0</v>
      </c>
      <c r="G482" s="90">
        <v>206988.65</v>
      </c>
      <c r="H482" s="82">
        <f t="shared" si="2"/>
        <v>206988.65</v>
      </c>
      <c r="I482" s="82">
        <f t="shared" si="1"/>
        <v>0</v>
      </c>
    </row>
    <row r="483" ht="12.75" customHeight="1">
      <c r="A483" s="87">
        <v>45948.0</v>
      </c>
      <c r="B483" s="88" t="s">
        <v>773</v>
      </c>
      <c r="C483" s="92" t="s">
        <v>92</v>
      </c>
      <c r="D483" s="92" t="s">
        <v>236</v>
      </c>
      <c r="E483" s="90">
        <v>3308.0</v>
      </c>
      <c r="F483" s="12"/>
      <c r="G483" s="90">
        <v>203680.65</v>
      </c>
      <c r="H483" s="82">
        <f t="shared" si="2"/>
        <v>203680.65</v>
      </c>
      <c r="I483" s="82">
        <f t="shared" si="1"/>
        <v>0</v>
      </c>
    </row>
    <row r="484" ht="12.75" customHeight="1">
      <c r="A484" s="87">
        <v>45948.0</v>
      </c>
      <c r="B484" s="88" t="s">
        <v>774</v>
      </c>
      <c r="C484" s="89" t="s">
        <v>120</v>
      </c>
      <c r="D484" s="89" t="s">
        <v>768</v>
      </c>
      <c r="E484" s="90">
        <v>115000.0</v>
      </c>
      <c r="F484" s="12"/>
      <c r="G484" s="90">
        <v>88680.65</v>
      </c>
      <c r="H484" s="82">
        <f t="shared" si="2"/>
        <v>88680.65</v>
      </c>
      <c r="I484" s="82">
        <f t="shared" si="1"/>
        <v>0</v>
      </c>
    </row>
    <row r="485" ht="12.75" customHeight="1">
      <c r="A485" s="87">
        <v>45948.0</v>
      </c>
      <c r="B485" s="88" t="s">
        <v>775</v>
      </c>
      <c r="C485" s="89" t="s">
        <v>87</v>
      </c>
      <c r="D485" s="89" t="s">
        <v>171</v>
      </c>
      <c r="E485" s="90">
        <v>890.0</v>
      </c>
      <c r="F485" s="12"/>
      <c r="G485" s="90">
        <v>87790.65</v>
      </c>
      <c r="H485" s="82">
        <f t="shared" si="2"/>
        <v>87790.65</v>
      </c>
      <c r="I485" s="82">
        <f t="shared" si="1"/>
        <v>0</v>
      </c>
    </row>
    <row r="486" ht="12.75" customHeight="1">
      <c r="A486" s="87">
        <v>45948.0</v>
      </c>
      <c r="B486" s="88" t="s">
        <v>776</v>
      </c>
      <c r="C486" s="89" t="s">
        <v>87</v>
      </c>
      <c r="D486" s="89" t="s">
        <v>777</v>
      </c>
      <c r="E486" s="90">
        <v>2530.0</v>
      </c>
      <c r="F486" s="12"/>
      <c r="G486" s="90">
        <v>85260.65</v>
      </c>
      <c r="H486" s="82">
        <f t="shared" si="2"/>
        <v>85260.65</v>
      </c>
      <c r="I486" s="82">
        <f t="shared" si="1"/>
        <v>0</v>
      </c>
    </row>
    <row r="487" ht="12.75" customHeight="1">
      <c r="A487" s="87">
        <v>45948.0</v>
      </c>
      <c r="B487" s="88" t="s">
        <v>778</v>
      </c>
      <c r="C487" s="89" t="s">
        <v>87</v>
      </c>
      <c r="D487" s="89" t="s">
        <v>777</v>
      </c>
      <c r="E487" s="90">
        <v>230.0</v>
      </c>
      <c r="F487" s="12"/>
      <c r="G487" s="90">
        <v>85030.65</v>
      </c>
      <c r="H487" s="82">
        <f t="shared" si="2"/>
        <v>85030.65</v>
      </c>
      <c r="I487" s="82">
        <f t="shared" si="1"/>
        <v>0</v>
      </c>
    </row>
    <row r="488" ht="12.75" customHeight="1">
      <c r="A488" s="87">
        <v>45948.0</v>
      </c>
      <c r="B488" s="89" t="s">
        <v>506</v>
      </c>
      <c r="C488" s="89" t="s">
        <v>173</v>
      </c>
      <c r="D488" s="89" t="s">
        <v>129</v>
      </c>
      <c r="E488" s="12"/>
      <c r="F488" s="90">
        <v>100000.0</v>
      </c>
      <c r="G488" s="90">
        <v>185030.65</v>
      </c>
      <c r="H488" s="82">
        <f t="shared" si="2"/>
        <v>185030.65</v>
      </c>
      <c r="I488" s="82">
        <f t="shared" si="1"/>
        <v>0</v>
      </c>
    </row>
    <row r="489" ht="12.75" customHeight="1">
      <c r="A489" s="87">
        <v>45948.0</v>
      </c>
      <c r="B489" s="88" t="s">
        <v>779</v>
      </c>
      <c r="C489" s="89" t="s">
        <v>98</v>
      </c>
      <c r="D489" s="89" t="s">
        <v>662</v>
      </c>
      <c r="E489" s="90">
        <v>7000.0</v>
      </c>
      <c r="F489" s="12"/>
      <c r="G489" s="90">
        <v>178030.65</v>
      </c>
      <c r="H489" s="82">
        <f t="shared" si="2"/>
        <v>178030.65</v>
      </c>
      <c r="I489" s="82">
        <f t="shared" si="1"/>
        <v>0</v>
      </c>
    </row>
    <row r="490" ht="12.75" customHeight="1">
      <c r="A490" s="87">
        <v>45948.0</v>
      </c>
      <c r="B490" s="88" t="s">
        <v>780</v>
      </c>
      <c r="C490" s="89" t="s">
        <v>83</v>
      </c>
      <c r="D490" s="89" t="s">
        <v>218</v>
      </c>
      <c r="E490" s="90">
        <v>77992.0</v>
      </c>
      <c r="F490" s="12"/>
      <c r="G490" s="90">
        <v>100038.65</v>
      </c>
      <c r="H490" s="82">
        <f t="shared" si="2"/>
        <v>100038.65</v>
      </c>
      <c r="I490" s="82">
        <f t="shared" si="1"/>
        <v>0</v>
      </c>
    </row>
    <row r="491" ht="12.75" customHeight="1">
      <c r="A491" s="87">
        <v>45949.0</v>
      </c>
      <c r="B491" s="88" t="s">
        <v>781</v>
      </c>
      <c r="C491" s="89" t="s">
        <v>120</v>
      </c>
      <c r="D491" s="89" t="s">
        <v>768</v>
      </c>
      <c r="E491" s="90">
        <v>100000.0</v>
      </c>
      <c r="F491" s="12"/>
      <c r="G491" s="90">
        <v>38.65</v>
      </c>
      <c r="H491" s="82">
        <f t="shared" si="2"/>
        <v>38.65</v>
      </c>
      <c r="I491" s="82">
        <f t="shared" si="1"/>
        <v>0</v>
      </c>
    </row>
    <row r="492" ht="12.75" customHeight="1">
      <c r="A492" s="87">
        <v>45950.0</v>
      </c>
      <c r="B492" s="88" t="s">
        <v>782</v>
      </c>
      <c r="C492" s="89" t="s">
        <v>507</v>
      </c>
      <c r="D492" s="89" t="s">
        <v>109</v>
      </c>
      <c r="E492" s="12"/>
      <c r="F492" s="90">
        <v>51340.75</v>
      </c>
      <c r="G492" s="90">
        <v>51379.4</v>
      </c>
      <c r="H492" s="82">
        <f t="shared" si="2"/>
        <v>51379.4</v>
      </c>
      <c r="I492" s="82">
        <f t="shared" si="1"/>
        <v>0</v>
      </c>
    </row>
    <row r="493" ht="12.75" customHeight="1">
      <c r="A493" s="87">
        <v>45950.0</v>
      </c>
      <c r="B493" s="88" t="s">
        <v>783</v>
      </c>
      <c r="C493" s="92" t="s">
        <v>92</v>
      </c>
      <c r="D493" s="92" t="s">
        <v>236</v>
      </c>
      <c r="E493" s="90">
        <v>3264.0</v>
      </c>
      <c r="F493" s="12"/>
      <c r="G493" s="90">
        <v>48115.4</v>
      </c>
      <c r="H493" s="82">
        <f t="shared" si="2"/>
        <v>48115.4</v>
      </c>
      <c r="I493" s="82">
        <f t="shared" si="1"/>
        <v>0</v>
      </c>
    </row>
    <row r="494" ht="12.75" customHeight="1">
      <c r="A494" s="87">
        <v>45951.0</v>
      </c>
      <c r="B494" s="88" t="s">
        <v>784</v>
      </c>
      <c r="C494" s="89" t="s">
        <v>118</v>
      </c>
      <c r="D494" s="12"/>
      <c r="E494" s="90">
        <v>40000.0</v>
      </c>
      <c r="F494" s="12"/>
      <c r="G494" s="90">
        <v>8115.4</v>
      </c>
      <c r="H494" s="82">
        <f t="shared" si="2"/>
        <v>8115.4</v>
      </c>
      <c r="I494" s="82">
        <f t="shared" si="1"/>
        <v>0</v>
      </c>
    </row>
    <row r="495" ht="12.75" customHeight="1">
      <c r="A495" s="87">
        <v>45954.0</v>
      </c>
      <c r="B495" s="88" t="s">
        <v>785</v>
      </c>
      <c r="C495" s="89" t="s">
        <v>97</v>
      </c>
      <c r="D495" s="92" t="s">
        <v>427</v>
      </c>
      <c r="E495" s="90">
        <v>896.44</v>
      </c>
      <c r="F495" s="12"/>
      <c r="G495" s="90">
        <v>7218.96</v>
      </c>
      <c r="H495" s="82">
        <f t="shared" si="2"/>
        <v>7218.96</v>
      </c>
      <c r="I495" s="82">
        <f t="shared" si="1"/>
        <v>0</v>
      </c>
    </row>
    <row r="496" ht="12.75" customHeight="1">
      <c r="A496" s="87">
        <v>45955.0</v>
      </c>
      <c r="B496" s="89" t="s">
        <v>786</v>
      </c>
      <c r="C496" s="89" t="s">
        <v>118</v>
      </c>
      <c r="D496" s="12"/>
      <c r="E496" s="90">
        <v>1200.0</v>
      </c>
      <c r="F496" s="12"/>
      <c r="G496" s="90">
        <v>6018.96</v>
      </c>
      <c r="H496" s="82">
        <f t="shared" si="2"/>
        <v>6018.96</v>
      </c>
      <c r="I496" s="82">
        <f t="shared" si="1"/>
        <v>0</v>
      </c>
    </row>
    <row r="497" ht="12.75" customHeight="1">
      <c r="A497" s="87">
        <v>45957.0</v>
      </c>
      <c r="B497" s="88" t="s">
        <v>787</v>
      </c>
      <c r="C497" s="89" t="s">
        <v>118</v>
      </c>
      <c r="D497" s="12"/>
      <c r="E497" s="90">
        <v>500.0</v>
      </c>
      <c r="F497" s="12"/>
      <c r="G497" s="90">
        <v>5518.96</v>
      </c>
      <c r="H497" s="82">
        <f t="shared" si="2"/>
        <v>5518.96</v>
      </c>
      <c r="I497" s="82">
        <f t="shared" si="1"/>
        <v>0</v>
      </c>
    </row>
    <row r="498" ht="12.75" customHeight="1">
      <c r="A498" s="87">
        <v>45957.0</v>
      </c>
      <c r="B498" s="88" t="s">
        <v>788</v>
      </c>
      <c r="C498" s="89" t="s">
        <v>98</v>
      </c>
      <c r="D498" s="89" t="s">
        <v>725</v>
      </c>
      <c r="E498" s="90">
        <v>2000.0</v>
      </c>
      <c r="F498" s="12"/>
      <c r="G498" s="90">
        <v>3518.96</v>
      </c>
      <c r="H498" s="82">
        <f t="shared" si="2"/>
        <v>3518.96</v>
      </c>
      <c r="I498" s="82">
        <f t="shared" si="1"/>
        <v>0</v>
      </c>
    </row>
    <row r="499" ht="12.75" customHeight="1">
      <c r="A499" s="87">
        <v>45957.0</v>
      </c>
      <c r="B499" s="88" t="s">
        <v>789</v>
      </c>
      <c r="C499" s="89" t="s">
        <v>118</v>
      </c>
      <c r="D499" s="12"/>
      <c r="E499" s="90">
        <v>3000.0</v>
      </c>
      <c r="F499" s="12"/>
      <c r="G499" s="90">
        <v>518.96</v>
      </c>
      <c r="H499" s="82">
        <f t="shared" si="2"/>
        <v>518.96</v>
      </c>
      <c r="I499" s="82">
        <f t="shared" si="1"/>
        <v>0</v>
      </c>
    </row>
    <row r="500" ht="12.75" customHeight="1">
      <c r="A500" s="87">
        <v>45957.0</v>
      </c>
      <c r="B500" s="88" t="s">
        <v>790</v>
      </c>
      <c r="C500" s="89" t="s">
        <v>118</v>
      </c>
      <c r="D500" s="12"/>
      <c r="E500" s="90">
        <v>56.0</v>
      </c>
      <c r="F500" s="12"/>
      <c r="G500" s="90">
        <v>462.96</v>
      </c>
      <c r="H500" s="82">
        <f t="shared" si="2"/>
        <v>462.96</v>
      </c>
      <c r="I500" s="82">
        <f t="shared" si="1"/>
        <v>0</v>
      </c>
    </row>
    <row r="501" ht="12.75" customHeight="1">
      <c r="A501" s="87">
        <v>45958.0</v>
      </c>
      <c r="B501" s="89" t="s">
        <v>791</v>
      </c>
      <c r="C501" s="89" t="s">
        <v>97</v>
      </c>
      <c r="D501" s="92" t="s">
        <v>792</v>
      </c>
      <c r="E501" s="90">
        <v>210.0</v>
      </c>
      <c r="F501" s="12"/>
      <c r="G501" s="90">
        <v>252.96</v>
      </c>
      <c r="H501" s="82">
        <f t="shared" si="2"/>
        <v>252.96</v>
      </c>
      <c r="I501" s="82">
        <f t="shared" si="1"/>
        <v>0</v>
      </c>
    </row>
    <row r="502" ht="12.75" customHeight="1">
      <c r="A502" s="87">
        <v>45958.0</v>
      </c>
      <c r="B502" s="88" t="s">
        <v>793</v>
      </c>
      <c r="C502" s="89" t="s">
        <v>118</v>
      </c>
      <c r="D502" s="12"/>
      <c r="E502" s="90">
        <v>250.0</v>
      </c>
      <c r="F502" s="12"/>
      <c r="G502" s="90">
        <v>2.96</v>
      </c>
      <c r="H502" s="82">
        <f t="shared" si="2"/>
        <v>2.96</v>
      </c>
      <c r="I502" s="82">
        <f t="shared" si="1"/>
        <v>0</v>
      </c>
    </row>
    <row r="503" ht="12.75" customHeight="1">
      <c r="A503" s="87">
        <v>45958.0</v>
      </c>
      <c r="B503" s="88" t="s">
        <v>794</v>
      </c>
      <c r="C503" s="89" t="s">
        <v>104</v>
      </c>
      <c r="D503" s="12"/>
      <c r="E503" s="90">
        <v>2.96</v>
      </c>
      <c r="F503" s="12"/>
      <c r="G503" s="90">
        <v>0.0</v>
      </c>
      <c r="H503" s="82">
        <f t="shared" si="2"/>
        <v>0</v>
      </c>
      <c r="I503" s="82">
        <f t="shared" si="1"/>
        <v>0</v>
      </c>
    </row>
    <row r="504" ht="12.75" customHeight="1">
      <c r="A504" s="87">
        <v>45959.0</v>
      </c>
      <c r="B504" s="88" t="s">
        <v>795</v>
      </c>
      <c r="C504" s="89" t="s">
        <v>173</v>
      </c>
      <c r="D504" s="89" t="s">
        <v>110</v>
      </c>
      <c r="E504" s="12"/>
      <c r="F504" s="90">
        <v>24950.73</v>
      </c>
      <c r="G504" s="90">
        <v>24950.73</v>
      </c>
      <c r="H504" s="82">
        <f t="shared" si="2"/>
        <v>24950.73</v>
      </c>
      <c r="I504" s="82">
        <f t="shared" si="1"/>
        <v>0</v>
      </c>
    </row>
    <row r="505" ht="12.75" customHeight="1">
      <c r="A505" s="87">
        <v>45959.0</v>
      </c>
      <c r="B505" s="88" t="s">
        <v>796</v>
      </c>
      <c r="C505" s="89" t="s">
        <v>120</v>
      </c>
      <c r="D505" s="89" t="s">
        <v>197</v>
      </c>
      <c r="E505" s="90">
        <v>20000.0</v>
      </c>
      <c r="F505" s="12"/>
      <c r="G505" s="90">
        <v>4950.73</v>
      </c>
      <c r="H505" s="82">
        <f t="shared" si="2"/>
        <v>4950.73</v>
      </c>
      <c r="I505" s="82">
        <f t="shared" si="1"/>
        <v>0</v>
      </c>
    </row>
    <row r="506" ht="12.75" customHeight="1">
      <c r="A506" s="87">
        <v>45959.0</v>
      </c>
      <c r="B506" s="88" t="s">
        <v>797</v>
      </c>
      <c r="C506" s="89" t="s">
        <v>118</v>
      </c>
      <c r="D506" s="12"/>
      <c r="E506" s="90">
        <v>649.0</v>
      </c>
      <c r="F506" s="12"/>
      <c r="G506" s="90">
        <v>4301.73</v>
      </c>
      <c r="H506" s="82">
        <f t="shared" si="2"/>
        <v>4301.73</v>
      </c>
      <c r="I506" s="82">
        <f t="shared" si="1"/>
        <v>0</v>
      </c>
    </row>
    <row r="507" ht="12.75" customHeight="1">
      <c r="A507" s="87">
        <v>45961.0</v>
      </c>
      <c r="B507" s="88" t="s">
        <v>798</v>
      </c>
      <c r="C507" s="89" t="s">
        <v>118</v>
      </c>
      <c r="D507" s="12"/>
      <c r="E507" s="90">
        <v>4000.0</v>
      </c>
      <c r="F507" s="12"/>
      <c r="G507" s="90">
        <v>301.73</v>
      </c>
      <c r="H507" s="82">
        <f t="shared" si="2"/>
        <v>301.73</v>
      </c>
      <c r="I507" s="82">
        <f t="shared" si="1"/>
        <v>0</v>
      </c>
    </row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hyperlinks>
    <hyperlink r:id="rId1" ref="B480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19.75"/>
    <col customWidth="1" min="3" max="3" width="23.63"/>
    <col customWidth="1" min="4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21.0" customHeight="1"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08.63"/>
    <col customWidth="1" min="3" max="3" width="63.63"/>
    <col customWidth="1" min="4" max="4" width="71.25"/>
    <col customWidth="1" min="5" max="5" width="16.25"/>
    <col customWidth="1" min="6" max="6" width="12.38"/>
    <col customWidth="1" min="7" max="8" width="15.88"/>
    <col customWidth="1" min="9" max="9" width="13.13"/>
    <col customWidth="1" min="10" max="26" width="8.63"/>
  </cols>
  <sheetData>
    <row r="1" ht="12.75" customHeight="1">
      <c r="A1" s="80" t="s">
        <v>78</v>
      </c>
      <c r="B1" s="80" t="s">
        <v>138</v>
      </c>
      <c r="C1" s="80" t="s">
        <v>139</v>
      </c>
      <c r="D1" s="80" t="s">
        <v>140</v>
      </c>
      <c r="E1" s="80" t="s">
        <v>141</v>
      </c>
      <c r="F1" s="80" t="s">
        <v>142</v>
      </c>
      <c r="G1" s="80" t="s">
        <v>143</v>
      </c>
      <c r="H1" s="80" t="s">
        <v>143</v>
      </c>
      <c r="I1" s="80" t="s">
        <v>144</v>
      </c>
    </row>
    <row r="2" ht="12.75" customHeight="1">
      <c r="A2" s="81">
        <v>45748.0</v>
      </c>
      <c r="B2" s="82" t="s">
        <v>145</v>
      </c>
      <c r="C2" s="83" t="s">
        <v>146</v>
      </c>
      <c r="D2" s="83" t="s">
        <v>147</v>
      </c>
      <c r="F2" s="82">
        <v>127300.0</v>
      </c>
      <c r="G2" s="82">
        <v>164000.56</v>
      </c>
      <c r="H2" s="82">
        <v>164000.56</v>
      </c>
      <c r="I2" s="82">
        <f t="shared" ref="I2:I58" si="1">+G2-H2</f>
        <v>0</v>
      </c>
    </row>
    <row r="3" ht="12.75" customHeight="1">
      <c r="A3" s="81">
        <v>45750.0</v>
      </c>
      <c r="B3" s="82" t="s">
        <v>148</v>
      </c>
      <c r="C3" s="82" t="s">
        <v>100</v>
      </c>
      <c r="D3" s="82" t="s">
        <v>149</v>
      </c>
      <c r="E3" s="82">
        <v>300.9</v>
      </c>
      <c r="G3" s="82">
        <v>163699.66</v>
      </c>
      <c r="H3" s="82">
        <f t="shared" ref="H3:H58" si="2">+H2+F3-E3</f>
        <v>163699.66</v>
      </c>
      <c r="I3" s="82">
        <f t="shared" si="1"/>
        <v>0</v>
      </c>
    </row>
    <row r="4" ht="12.75" customHeight="1">
      <c r="A4" s="81">
        <v>45750.0</v>
      </c>
      <c r="B4" s="82" t="s">
        <v>150</v>
      </c>
      <c r="C4" s="82" t="s">
        <v>85</v>
      </c>
      <c r="D4" s="82" t="s">
        <v>151</v>
      </c>
      <c r="E4" s="82">
        <v>1284.0</v>
      </c>
      <c r="G4" s="82">
        <v>162415.66</v>
      </c>
      <c r="H4" s="82">
        <f t="shared" si="2"/>
        <v>162415.66</v>
      </c>
      <c r="I4" s="82">
        <f t="shared" si="1"/>
        <v>0</v>
      </c>
    </row>
    <row r="5" ht="12.75" customHeight="1">
      <c r="A5" s="81">
        <v>45750.0</v>
      </c>
      <c r="B5" s="82" t="s">
        <v>152</v>
      </c>
      <c r="C5" s="82" t="s">
        <v>88</v>
      </c>
      <c r="D5" s="82" t="s">
        <v>153</v>
      </c>
      <c r="E5" s="82">
        <v>588.82</v>
      </c>
      <c r="G5" s="82">
        <v>161826.84</v>
      </c>
      <c r="H5" s="82">
        <f t="shared" si="2"/>
        <v>161826.84</v>
      </c>
      <c r="I5" s="82">
        <f t="shared" si="1"/>
        <v>0</v>
      </c>
    </row>
    <row r="6" ht="12.75" customHeight="1">
      <c r="A6" s="81">
        <v>45750.0</v>
      </c>
      <c r="B6" s="82" t="s">
        <v>154</v>
      </c>
      <c r="C6" s="82" t="s">
        <v>87</v>
      </c>
      <c r="D6" s="82" t="s">
        <v>155</v>
      </c>
      <c r="E6" s="82">
        <v>1800.0</v>
      </c>
      <c r="G6" s="82">
        <v>160026.84</v>
      </c>
      <c r="H6" s="82">
        <f t="shared" si="2"/>
        <v>160026.84</v>
      </c>
      <c r="I6" s="82">
        <f t="shared" si="1"/>
        <v>0</v>
      </c>
    </row>
    <row r="7" ht="12.75" customHeight="1">
      <c r="A7" s="81">
        <v>45751.0</v>
      </c>
      <c r="B7" s="82" t="s">
        <v>156</v>
      </c>
      <c r="C7" s="82" t="s">
        <v>100</v>
      </c>
      <c r="D7" s="82" t="s">
        <v>149</v>
      </c>
      <c r="E7" s="82">
        <v>200.9</v>
      </c>
      <c r="G7" s="82">
        <v>159825.94</v>
      </c>
      <c r="H7" s="82">
        <f t="shared" si="2"/>
        <v>159825.94</v>
      </c>
      <c r="I7" s="82">
        <f t="shared" si="1"/>
        <v>0</v>
      </c>
    </row>
    <row r="8" ht="12.75" customHeight="1">
      <c r="A8" s="81">
        <v>45751.0</v>
      </c>
      <c r="B8" s="82" t="s">
        <v>157</v>
      </c>
      <c r="C8" s="82" t="s">
        <v>94</v>
      </c>
      <c r="D8" s="82" t="s">
        <v>158</v>
      </c>
      <c r="E8" s="82">
        <v>1003.0</v>
      </c>
      <c r="G8" s="82">
        <v>158822.94</v>
      </c>
      <c r="H8" s="82">
        <f t="shared" si="2"/>
        <v>158822.94</v>
      </c>
      <c r="I8" s="82">
        <f t="shared" si="1"/>
        <v>0</v>
      </c>
    </row>
    <row r="9" ht="12.75" customHeight="1">
      <c r="A9" s="81">
        <v>45752.0</v>
      </c>
      <c r="B9" s="82" t="s">
        <v>159</v>
      </c>
      <c r="C9" s="82" t="s">
        <v>83</v>
      </c>
      <c r="D9" s="82" t="s">
        <v>160</v>
      </c>
      <c r="E9" s="82">
        <v>90842.0</v>
      </c>
      <c r="G9" s="82">
        <v>67980.94</v>
      </c>
      <c r="H9" s="82">
        <f t="shared" si="2"/>
        <v>67980.94</v>
      </c>
      <c r="I9" s="82">
        <f t="shared" si="1"/>
        <v>0</v>
      </c>
    </row>
    <row r="10" ht="12.75" customHeight="1">
      <c r="A10" s="81">
        <v>45752.0</v>
      </c>
      <c r="B10" s="82" t="s">
        <v>161</v>
      </c>
      <c r="C10" s="82" t="s">
        <v>91</v>
      </c>
      <c r="D10" s="82" t="s">
        <v>162</v>
      </c>
      <c r="E10" s="82">
        <v>18875.0</v>
      </c>
      <c r="G10" s="82">
        <v>49105.94</v>
      </c>
      <c r="H10" s="82">
        <f t="shared" si="2"/>
        <v>49105.94</v>
      </c>
      <c r="I10" s="82">
        <f t="shared" si="1"/>
        <v>0</v>
      </c>
    </row>
    <row r="11" ht="12.75" customHeight="1">
      <c r="A11" s="81">
        <v>45754.0</v>
      </c>
      <c r="B11" s="82" t="s">
        <v>163</v>
      </c>
      <c r="C11" s="82" t="s">
        <v>99</v>
      </c>
      <c r="D11" s="82" t="s">
        <v>164</v>
      </c>
      <c r="E11" s="82">
        <v>11180.0</v>
      </c>
      <c r="G11" s="82">
        <v>37925.94</v>
      </c>
      <c r="H11" s="82">
        <f t="shared" si="2"/>
        <v>37925.94</v>
      </c>
      <c r="I11" s="82">
        <f t="shared" si="1"/>
        <v>0</v>
      </c>
    </row>
    <row r="12" ht="12.75" customHeight="1">
      <c r="A12" s="81">
        <v>45754.0</v>
      </c>
      <c r="B12" s="82" t="s">
        <v>165</v>
      </c>
      <c r="C12" s="83" t="s">
        <v>97</v>
      </c>
      <c r="D12" s="83" t="s">
        <v>166</v>
      </c>
      <c r="E12" s="82">
        <v>1208.17</v>
      </c>
      <c r="G12" s="82">
        <v>36717.77</v>
      </c>
      <c r="H12" s="82">
        <f t="shared" si="2"/>
        <v>36717.77</v>
      </c>
      <c r="I12" s="82">
        <f t="shared" si="1"/>
        <v>0</v>
      </c>
    </row>
    <row r="13" ht="12.75" customHeight="1">
      <c r="A13" s="81">
        <v>45754.0</v>
      </c>
      <c r="B13" s="82" t="s">
        <v>167</v>
      </c>
      <c r="C13" s="82" t="s">
        <v>87</v>
      </c>
      <c r="D13" s="82" t="s">
        <v>155</v>
      </c>
      <c r="E13" s="82">
        <v>1800.0</v>
      </c>
      <c r="G13" s="82">
        <v>34917.77</v>
      </c>
      <c r="H13" s="82">
        <f t="shared" si="2"/>
        <v>34917.77</v>
      </c>
      <c r="I13" s="82">
        <f t="shared" si="1"/>
        <v>0</v>
      </c>
    </row>
    <row r="14" ht="12.75" customHeight="1">
      <c r="A14" s="81">
        <v>45756.0</v>
      </c>
      <c r="B14" s="82" t="s">
        <v>168</v>
      </c>
      <c r="C14" s="82" t="s">
        <v>81</v>
      </c>
      <c r="D14" s="82" t="s">
        <v>169</v>
      </c>
      <c r="E14" s="82">
        <v>370.0</v>
      </c>
      <c r="G14" s="82">
        <v>34547.77</v>
      </c>
      <c r="H14" s="82">
        <f t="shared" si="2"/>
        <v>34547.77</v>
      </c>
      <c r="I14" s="82">
        <f t="shared" si="1"/>
        <v>0</v>
      </c>
    </row>
    <row r="15" ht="12.75" customHeight="1">
      <c r="A15" s="81">
        <v>45757.0</v>
      </c>
      <c r="B15" s="82" t="s">
        <v>170</v>
      </c>
      <c r="C15" s="82" t="s">
        <v>87</v>
      </c>
      <c r="D15" s="82" t="s">
        <v>171</v>
      </c>
      <c r="E15" s="82">
        <v>720.0</v>
      </c>
      <c r="G15" s="82">
        <v>33827.77</v>
      </c>
      <c r="H15" s="82">
        <f t="shared" si="2"/>
        <v>33827.77</v>
      </c>
      <c r="I15" s="82">
        <f t="shared" si="1"/>
        <v>0</v>
      </c>
    </row>
    <row r="16" ht="12.75" customHeight="1">
      <c r="A16" s="81">
        <v>45758.0</v>
      </c>
      <c r="B16" s="82" t="s">
        <v>172</v>
      </c>
      <c r="C16" s="82" t="s">
        <v>173</v>
      </c>
      <c r="D16" s="82" t="s">
        <v>110</v>
      </c>
      <c r="F16" s="82">
        <v>199244.24</v>
      </c>
      <c r="G16" s="82">
        <v>233072.01</v>
      </c>
      <c r="H16" s="82">
        <f t="shared" si="2"/>
        <v>233072.01</v>
      </c>
      <c r="I16" s="82">
        <f t="shared" si="1"/>
        <v>0</v>
      </c>
    </row>
    <row r="17" ht="12.75" customHeight="1">
      <c r="A17" s="81">
        <v>45758.0</v>
      </c>
      <c r="B17" s="82" t="s">
        <v>174</v>
      </c>
      <c r="C17" s="82" t="s">
        <v>96</v>
      </c>
      <c r="D17" s="82" t="s">
        <v>175</v>
      </c>
      <c r="E17" s="82">
        <v>183412.0</v>
      </c>
      <c r="G17" s="82">
        <v>49660.01</v>
      </c>
      <c r="H17" s="82">
        <f t="shared" si="2"/>
        <v>49660.01</v>
      </c>
      <c r="I17" s="82">
        <f t="shared" si="1"/>
        <v>0</v>
      </c>
    </row>
    <row r="18" ht="12.75" customHeight="1">
      <c r="A18" s="81">
        <v>45758.0</v>
      </c>
      <c r="B18" s="82" t="s">
        <v>176</v>
      </c>
      <c r="C18" s="82" t="s">
        <v>98</v>
      </c>
      <c r="D18" s="82" t="s">
        <v>177</v>
      </c>
      <c r="E18" s="82">
        <v>3000.0</v>
      </c>
      <c r="G18" s="82">
        <v>46660.01</v>
      </c>
      <c r="H18" s="82">
        <f t="shared" si="2"/>
        <v>46660.01</v>
      </c>
      <c r="I18" s="82">
        <f t="shared" si="1"/>
        <v>0</v>
      </c>
    </row>
    <row r="19" ht="12.75" customHeight="1">
      <c r="A19" s="81">
        <v>45758.0</v>
      </c>
      <c r="B19" s="82" t="s">
        <v>178</v>
      </c>
      <c r="C19" s="82" t="s">
        <v>98</v>
      </c>
      <c r="D19" s="82" t="s">
        <v>179</v>
      </c>
      <c r="E19" s="82">
        <v>6708.0</v>
      </c>
      <c r="G19" s="82">
        <v>39952.01</v>
      </c>
      <c r="H19" s="82">
        <f t="shared" si="2"/>
        <v>39952.01</v>
      </c>
      <c r="I19" s="82">
        <f t="shared" si="1"/>
        <v>0</v>
      </c>
    </row>
    <row r="20" ht="12.75" customHeight="1">
      <c r="A20" s="81">
        <v>45758.0</v>
      </c>
      <c r="B20" s="82" t="s">
        <v>180</v>
      </c>
      <c r="C20" s="82" t="s">
        <v>98</v>
      </c>
      <c r="D20" s="82" t="s">
        <v>181</v>
      </c>
      <c r="E20" s="82">
        <v>7000.0</v>
      </c>
      <c r="G20" s="82">
        <v>32952.01</v>
      </c>
      <c r="H20" s="82">
        <f t="shared" si="2"/>
        <v>32952.01</v>
      </c>
      <c r="I20" s="82">
        <f t="shared" si="1"/>
        <v>0</v>
      </c>
    </row>
    <row r="21" ht="12.75" customHeight="1">
      <c r="A21" s="81">
        <v>45758.0</v>
      </c>
      <c r="B21" s="82" t="s">
        <v>182</v>
      </c>
      <c r="C21" s="82" t="s">
        <v>98</v>
      </c>
      <c r="D21" s="82" t="s">
        <v>183</v>
      </c>
      <c r="E21" s="82">
        <v>5833.0</v>
      </c>
      <c r="G21" s="82">
        <v>27119.01</v>
      </c>
      <c r="H21" s="82">
        <f t="shared" si="2"/>
        <v>27119.01</v>
      </c>
      <c r="I21" s="82">
        <f t="shared" si="1"/>
        <v>0</v>
      </c>
    </row>
    <row r="22" ht="12.75" customHeight="1">
      <c r="A22" s="81">
        <v>45758.0</v>
      </c>
      <c r="B22" s="82" t="s">
        <v>184</v>
      </c>
      <c r="C22" s="82" t="s">
        <v>98</v>
      </c>
      <c r="D22" s="82" t="s">
        <v>183</v>
      </c>
      <c r="E22" s="82">
        <v>1167.0</v>
      </c>
      <c r="G22" s="82">
        <v>25952.01</v>
      </c>
      <c r="H22" s="82">
        <f t="shared" si="2"/>
        <v>25952.01</v>
      </c>
      <c r="I22" s="82">
        <f t="shared" si="1"/>
        <v>0</v>
      </c>
    </row>
    <row r="23" ht="12.75" customHeight="1">
      <c r="A23" s="81">
        <v>45758.0</v>
      </c>
      <c r="B23" s="82" t="s">
        <v>185</v>
      </c>
      <c r="C23" s="82" t="s">
        <v>98</v>
      </c>
      <c r="D23" s="82" t="s">
        <v>186</v>
      </c>
      <c r="E23" s="82">
        <v>1750.0</v>
      </c>
      <c r="G23" s="82">
        <v>24202.01</v>
      </c>
      <c r="H23" s="82">
        <f t="shared" si="2"/>
        <v>24202.01</v>
      </c>
      <c r="I23" s="82">
        <f t="shared" si="1"/>
        <v>0</v>
      </c>
    </row>
    <row r="24" ht="12.75" customHeight="1">
      <c r="A24" s="81">
        <v>45758.0</v>
      </c>
      <c r="B24" s="82" t="s">
        <v>187</v>
      </c>
      <c r="C24" s="82" t="s">
        <v>98</v>
      </c>
      <c r="D24" s="82" t="s">
        <v>188</v>
      </c>
      <c r="E24" s="82">
        <v>3500.0</v>
      </c>
      <c r="G24" s="82">
        <v>20702.01</v>
      </c>
      <c r="H24" s="82">
        <f t="shared" si="2"/>
        <v>20702.01</v>
      </c>
      <c r="I24" s="82">
        <f t="shared" si="1"/>
        <v>0</v>
      </c>
    </row>
    <row r="25" ht="12.75" customHeight="1">
      <c r="A25" s="81">
        <v>45758.0</v>
      </c>
      <c r="B25" s="82" t="s">
        <v>189</v>
      </c>
      <c r="C25" s="82" t="s">
        <v>98</v>
      </c>
      <c r="D25" s="82" t="s">
        <v>190</v>
      </c>
      <c r="E25" s="82">
        <v>6708.0</v>
      </c>
      <c r="G25" s="82">
        <v>13994.01</v>
      </c>
      <c r="H25" s="82">
        <f t="shared" si="2"/>
        <v>13994.01</v>
      </c>
      <c r="I25" s="82">
        <f t="shared" si="1"/>
        <v>0</v>
      </c>
    </row>
    <row r="26" ht="12.75" customHeight="1">
      <c r="A26" s="81">
        <v>45758.0</v>
      </c>
      <c r="B26" s="82" t="s">
        <v>191</v>
      </c>
      <c r="C26" s="82" t="s">
        <v>98</v>
      </c>
      <c r="D26" s="82" t="s">
        <v>192</v>
      </c>
      <c r="E26" s="82">
        <v>6604.0</v>
      </c>
      <c r="G26" s="82">
        <v>7390.01</v>
      </c>
      <c r="H26" s="82">
        <f t="shared" si="2"/>
        <v>7390.01</v>
      </c>
      <c r="I26" s="82">
        <f t="shared" si="1"/>
        <v>0</v>
      </c>
    </row>
    <row r="27" ht="12.75" customHeight="1">
      <c r="A27" s="81">
        <v>45759.0</v>
      </c>
      <c r="B27" s="82" t="s">
        <v>193</v>
      </c>
      <c r="C27" s="82" t="s">
        <v>87</v>
      </c>
      <c r="D27" s="82" t="s">
        <v>155</v>
      </c>
      <c r="E27" s="82">
        <v>607.0</v>
      </c>
      <c r="G27" s="82">
        <v>6783.01</v>
      </c>
      <c r="H27" s="82">
        <f t="shared" si="2"/>
        <v>6783.01</v>
      </c>
      <c r="I27" s="82">
        <f t="shared" si="1"/>
        <v>0</v>
      </c>
    </row>
    <row r="28" ht="12.75" customHeight="1">
      <c r="A28" s="81">
        <v>45759.0</v>
      </c>
      <c r="B28" s="82" t="s">
        <v>194</v>
      </c>
      <c r="C28" s="82" t="s">
        <v>87</v>
      </c>
      <c r="D28" s="82" t="s">
        <v>195</v>
      </c>
      <c r="E28" s="82">
        <v>2310.0</v>
      </c>
      <c r="G28" s="82">
        <v>4473.01</v>
      </c>
      <c r="H28" s="82">
        <f t="shared" si="2"/>
        <v>4473.01</v>
      </c>
      <c r="I28" s="82">
        <f t="shared" si="1"/>
        <v>0</v>
      </c>
    </row>
    <row r="29" ht="12.75" customHeight="1">
      <c r="A29" s="81">
        <v>45762.0</v>
      </c>
      <c r="B29" s="82" t="s">
        <v>196</v>
      </c>
      <c r="C29" s="82" t="s">
        <v>120</v>
      </c>
      <c r="D29" s="82" t="s">
        <v>197</v>
      </c>
      <c r="F29" s="82">
        <v>45000.0</v>
      </c>
      <c r="G29" s="82">
        <v>49473.01</v>
      </c>
      <c r="H29" s="82">
        <f t="shared" si="2"/>
        <v>49473.01</v>
      </c>
      <c r="I29" s="82">
        <f t="shared" si="1"/>
        <v>0</v>
      </c>
    </row>
    <row r="30" ht="12.75" customHeight="1">
      <c r="A30" s="81">
        <v>45762.0</v>
      </c>
      <c r="B30" s="82" t="s">
        <v>198</v>
      </c>
      <c r="C30" s="82" t="s">
        <v>98</v>
      </c>
      <c r="D30" s="82" t="s">
        <v>199</v>
      </c>
      <c r="E30" s="82">
        <v>6708.0</v>
      </c>
      <c r="G30" s="82">
        <v>42765.01</v>
      </c>
      <c r="H30" s="82">
        <f t="shared" si="2"/>
        <v>42765.01</v>
      </c>
      <c r="I30" s="82">
        <f t="shared" si="1"/>
        <v>0</v>
      </c>
    </row>
    <row r="31" ht="12.75" customHeight="1">
      <c r="A31" s="81">
        <v>45762.0</v>
      </c>
      <c r="B31" s="82" t="s">
        <v>200</v>
      </c>
      <c r="C31" s="82" t="s">
        <v>98</v>
      </c>
      <c r="D31" s="82" t="s">
        <v>201</v>
      </c>
      <c r="E31" s="82">
        <v>6417.0</v>
      </c>
      <c r="G31" s="82">
        <v>36348.01</v>
      </c>
      <c r="H31" s="82">
        <f t="shared" si="2"/>
        <v>36348.01</v>
      </c>
      <c r="I31" s="82">
        <f t="shared" si="1"/>
        <v>0</v>
      </c>
    </row>
    <row r="32" ht="12.75" customHeight="1">
      <c r="A32" s="81">
        <v>45762.0</v>
      </c>
      <c r="B32" s="82" t="s">
        <v>202</v>
      </c>
      <c r="C32" s="82" t="s">
        <v>86</v>
      </c>
      <c r="D32" s="82" t="s">
        <v>203</v>
      </c>
      <c r="E32" s="82">
        <v>33110.0</v>
      </c>
      <c r="G32" s="82">
        <v>3238.01</v>
      </c>
      <c r="H32" s="82">
        <f t="shared" si="2"/>
        <v>3238.01</v>
      </c>
      <c r="I32" s="82">
        <f t="shared" si="1"/>
        <v>0</v>
      </c>
    </row>
    <row r="33" ht="12.75" customHeight="1">
      <c r="A33" s="81">
        <v>45762.0</v>
      </c>
      <c r="B33" s="82" t="s">
        <v>204</v>
      </c>
      <c r="C33" s="82" t="s">
        <v>88</v>
      </c>
      <c r="D33" s="82" t="s">
        <v>205</v>
      </c>
      <c r="E33" s="82">
        <v>1650.82</v>
      </c>
      <c r="G33" s="82">
        <v>1587.19</v>
      </c>
      <c r="H33" s="82">
        <f t="shared" si="2"/>
        <v>1587.19</v>
      </c>
      <c r="I33" s="82">
        <f t="shared" si="1"/>
        <v>0</v>
      </c>
    </row>
    <row r="34" ht="12.75" customHeight="1">
      <c r="A34" s="81">
        <v>45762.0</v>
      </c>
      <c r="B34" s="82" t="s">
        <v>206</v>
      </c>
      <c r="C34" s="82" t="s">
        <v>87</v>
      </c>
      <c r="D34" s="82" t="s">
        <v>155</v>
      </c>
      <c r="E34" s="82">
        <v>1500.0</v>
      </c>
      <c r="G34" s="82">
        <v>87.19</v>
      </c>
      <c r="H34" s="82">
        <f t="shared" si="2"/>
        <v>87.19</v>
      </c>
      <c r="I34" s="82">
        <f t="shared" si="1"/>
        <v>0</v>
      </c>
    </row>
    <row r="35" ht="12.75" customHeight="1">
      <c r="A35" s="81">
        <v>45763.0</v>
      </c>
      <c r="B35" s="82" t="s">
        <v>207</v>
      </c>
      <c r="C35" s="82" t="s">
        <v>120</v>
      </c>
      <c r="D35" s="82" t="s">
        <v>197</v>
      </c>
      <c r="F35" s="82">
        <v>20000.0</v>
      </c>
      <c r="G35" s="82">
        <v>20087.19</v>
      </c>
      <c r="H35" s="82">
        <f t="shared" si="2"/>
        <v>20087.19</v>
      </c>
      <c r="I35" s="82">
        <f t="shared" si="1"/>
        <v>0</v>
      </c>
    </row>
    <row r="36" ht="12.75" customHeight="1">
      <c r="A36" s="81">
        <v>45763.0</v>
      </c>
      <c r="B36" s="82" t="s">
        <v>208</v>
      </c>
      <c r="C36" s="82" t="s">
        <v>94</v>
      </c>
      <c r="D36" s="82" t="s">
        <v>158</v>
      </c>
      <c r="E36" s="82">
        <v>1003.0</v>
      </c>
      <c r="G36" s="82">
        <v>19084.19</v>
      </c>
      <c r="H36" s="82">
        <f t="shared" si="2"/>
        <v>19084.19</v>
      </c>
      <c r="I36" s="82">
        <f t="shared" si="1"/>
        <v>0</v>
      </c>
    </row>
    <row r="37" ht="12.75" customHeight="1">
      <c r="A37" s="81">
        <v>45763.0</v>
      </c>
      <c r="B37" s="82" t="s">
        <v>209</v>
      </c>
      <c r="C37" s="82" t="s">
        <v>93</v>
      </c>
      <c r="D37" s="82" t="s">
        <v>210</v>
      </c>
      <c r="E37" s="82">
        <v>18340.0</v>
      </c>
      <c r="G37" s="82">
        <v>744.19</v>
      </c>
      <c r="H37" s="82">
        <f t="shared" si="2"/>
        <v>744.19</v>
      </c>
      <c r="I37" s="82">
        <f t="shared" si="1"/>
        <v>0</v>
      </c>
    </row>
    <row r="38" ht="12.75" customHeight="1">
      <c r="A38" s="81">
        <v>45763.0</v>
      </c>
      <c r="B38" s="82" t="s">
        <v>211</v>
      </c>
      <c r="C38" s="82" t="s">
        <v>81</v>
      </c>
      <c r="D38" s="82" t="s">
        <v>212</v>
      </c>
      <c r="E38" s="82">
        <v>200.0</v>
      </c>
      <c r="G38" s="82">
        <v>544.19</v>
      </c>
      <c r="H38" s="82">
        <f t="shared" si="2"/>
        <v>544.19</v>
      </c>
      <c r="I38" s="82">
        <f t="shared" si="1"/>
        <v>0</v>
      </c>
    </row>
    <row r="39" ht="12.75" customHeight="1">
      <c r="A39" s="81">
        <v>45763.0</v>
      </c>
      <c r="B39" s="82" t="s">
        <v>213</v>
      </c>
      <c r="C39" s="82" t="s">
        <v>81</v>
      </c>
      <c r="D39" s="82" t="s">
        <v>214</v>
      </c>
      <c r="E39" s="82">
        <v>20.0</v>
      </c>
      <c r="G39" s="82">
        <v>524.19</v>
      </c>
      <c r="H39" s="82">
        <f t="shared" si="2"/>
        <v>524.19</v>
      </c>
      <c r="I39" s="82">
        <f t="shared" si="1"/>
        <v>0</v>
      </c>
    </row>
    <row r="40" ht="12.75" customHeight="1">
      <c r="A40" s="81">
        <v>45764.0</v>
      </c>
      <c r="B40" s="82" t="s">
        <v>215</v>
      </c>
      <c r="C40" s="83" t="s">
        <v>146</v>
      </c>
      <c r="D40" s="83" t="s">
        <v>147</v>
      </c>
      <c r="F40" s="82">
        <v>127560.48</v>
      </c>
      <c r="G40" s="82">
        <v>128084.67</v>
      </c>
      <c r="H40" s="82">
        <f t="shared" si="2"/>
        <v>128084.67</v>
      </c>
      <c r="I40" s="82">
        <f t="shared" si="1"/>
        <v>0</v>
      </c>
    </row>
    <row r="41" ht="12.75" customHeight="1">
      <c r="A41" s="81">
        <v>45764.0</v>
      </c>
      <c r="B41" s="82" t="s">
        <v>216</v>
      </c>
      <c r="C41" s="82" t="s">
        <v>217</v>
      </c>
      <c r="D41" s="82" t="s">
        <v>218</v>
      </c>
      <c r="E41" s="82">
        <v>73962.0</v>
      </c>
      <c r="G41" s="82">
        <v>54122.67</v>
      </c>
      <c r="H41" s="82">
        <f t="shared" si="2"/>
        <v>54122.67</v>
      </c>
      <c r="I41" s="82">
        <f t="shared" si="1"/>
        <v>0</v>
      </c>
    </row>
    <row r="42" ht="12.75" customHeight="1">
      <c r="A42" s="81">
        <v>45764.0</v>
      </c>
      <c r="B42" s="82" t="s">
        <v>219</v>
      </c>
      <c r="C42" s="82" t="s">
        <v>86</v>
      </c>
      <c r="D42" s="82" t="s">
        <v>220</v>
      </c>
      <c r="E42" s="82">
        <v>3600.0</v>
      </c>
      <c r="G42" s="82">
        <v>50522.67</v>
      </c>
      <c r="H42" s="82">
        <f t="shared" si="2"/>
        <v>50522.67</v>
      </c>
      <c r="I42" s="82">
        <f t="shared" si="1"/>
        <v>0</v>
      </c>
    </row>
    <row r="43" ht="12.75" customHeight="1">
      <c r="A43" s="81">
        <v>45764.0</v>
      </c>
      <c r="B43" s="82" t="s">
        <v>221</v>
      </c>
      <c r="C43" s="82" t="s">
        <v>86</v>
      </c>
      <c r="D43" s="82" t="s">
        <v>222</v>
      </c>
      <c r="E43" s="82">
        <v>3600.0</v>
      </c>
      <c r="G43" s="82">
        <v>46922.67</v>
      </c>
      <c r="H43" s="82">
        <f t="shared" si="2"/>
        <v>46922.67</v>
      </c>
      <c r="I43" s="82">
        <f t="shared" si="1"/>
        <v>0</v>
      </c>
    </row>
    <row r="44" ht="12.75" customHeight="1">
      <c r="A44" s="81">
        <v>45764.0</v>
      </c>
      <c r="B44" s="82" t="s">
        <v>223</v>
      </c>
      <c r="C44" s="82" t="s">
        <v>86</v>
      </c>
      <c r="D44" s="82" t="s">
        <v>224</v>
      </c>
      <c r="E44" s="82">
        <v>3600.0</v>
      </c>
      <c r="G44" s="82">
        <v>43322.67</v>
      </c>
      <c r="H44" s="82">
        <f t="shared" si="2"/>
        <v>43322.67</v>
      </c>
      <c r="I44" s="82">
        <f t="shared" si="1"/>
        <v>0</v>
      </c>
    </row>
    <row r="45" ht="12.75" customHeight="1">
      <c r="A45" s="81">
        <v>45765.0</v>
      </c>
      <c r="B45" s="82" t="s">
        <v>225</v>
      </c>
      <c r="C45" s="82" t="s">
        <v>98</v>
      </c>
      <c r="D45" s="82" t="s">
        <v>226</v>
      </c>
      <c r="E45" s="82">
        <v>1400.0</v>
      </c>
      <c r="G45" s="82">
        <v>41922.67</v>
      </c>
      <c r="H45" s="82">
        <f t="shared" si="2"/>
        <v>41922.67</v>
      </c>
      <c r="I45" s="82">
        <f t="shared" si="1"/>
        <v>0</v>
      </c>
    </row>
    <row r="46" ht="12.75" customHeight="1">
      <c r="A46" s="81">
        <v>45765.0</v>
      </c>
      <c r="B46" s="82" t="s">
        <v>227</v>
      </c>
      <c r="C46" s="82" t="s">
        <v>98</v>
      </c>
      <c r="D46" s="82" t="s">
        <v>228</v>
      </c>
      <c r="E46" s="82">
        <v>4400.0</v>
      </c>
      <c r="G46" s="82">
        <v>37522.67</v>
      </c>
      <c r="H46" s="82">
        <f t="shared" si="2"/>
        <v>37522.67</v>
      </c>
      <c r="I46" s="82">
        <f t="shared" si="1"/>
        <v>0</v>
      </c>
    </row>
    <row r="47" ht="12.75" customHeight="1">
      <c r="A47" s="81">
        <v>45765.0</v>
      </c>
      <c r="B47" s="82" t="s">
        <v>229</v>
      </c>
      <c r="C47" s="82" t="s">
        <v>88</v>
      </c>
      <c r="D47" s="82" t="s">
        <v>230</v>
      </c>
      <c r="E47" s="82">
        <v>5313.54</v>
      </c>
      <c r="G47" s="82">
        <v>32209.13</v>
      </c>
      <c r="H47" s="82">
        <f t="shared" si="2"/>
        <v>32209.13</v>
      </c>
      <c r="I47" s="82">
        <f t="shared" si="1"/>
        <v>0</v>
      </c>
    </row>
    <row r="48" ht="12.75" customHeight="1">
      <c r="A48" s="81">
        <v>45765.0</v>
      </c>
      <c r="B48" s="82" t="s">
        <v>231</v>
      </c>
      <c r="C48" s="82" t="s">
        <v>95</v>
      </c>
      <c r="D48" s="82" t="s">
        <v>232</v>
      </c>
      <c r="E48" s="82">
        <v>800.0</v>
      </c>
      <c r="G48" s="82">
        <v>31409.13</v>
      </c>
      <c r="H48" s="82">
        <f t="shared" si="2"/>
        <v>31409.13</v>
      </c>
      <c r="I48" s="82">
        <f t="shared" si="1"/>
        <v>0</v>
      </c>
    </row>
    <row r="49" ht="12.75" customHeight="1">
      <c r="A49" s="81">
        <v>45766.0</v>
      </c>
      <c r="B49" s="82" t="s">
        <v>233</v>
      </c>
      <c r="C49" s="83" t="s">
        <v>89</v>
      </c>
      <c r="D49" s="83" t="s">
        <v>234</v>
      </c>
      <c r="E49" s="82">
        <v>5000.0</v>
      </c>
      <c r="G49" s="82">
        <v>26409.13</v>
      </c>
      <c r="H49" s="82">
        <f t="shared" si="2"/>
        <v>26409.13</v>
      </c>
      <c r="I49" s="82">
        <f t="shared" si="1"/>
        <v>0</v>
      </c>
    </row>
    <row r="50" ht="12.75" customHeight="1">
      <c r="A50" s="81">
        <v>45766.0</v>
      </c>
      <c r="B50" s="82" t="s">
        <v>235</v>
      </c>
      <c r="C50" s="83" t="s">
        <v>92</v>
      </c>
      <c r="D50" s="83" t="s">
        <v>236</v>
      </c>
      <c r="E50" s="82">
        <v>3308.0</v>
      </c>
      <c r="G50" s="82">
        <v>23101.13</v>
      </c>
      <c r="H50" s="82">
        <f t="shared" si="2"/>
        <v>23101.13</v>
      </c>
      <c r="I50" s="82">
        <f t="shared" si="1"/>
        <v>0</v>
      </c>
    </row>
    <row r="51" ht="12.75" customHeight="1">
      <c r="A51" s="81">
        <v>45768.0</v>
      </c>
      <c r="B51" s="82" t="s">
        <v>237</v>
      </c>
      <c r="C51" s="82" t="s">
        <v>87</v>
      </c>
      <c r="D51" s="82" t="s">
        <v>155</v>
      </c>
      <c r="E51" s="82">
        <v>1830.0</v>
      </c>
      <c r="G51" s="82">
        <v>21271.13</v>
      </c>
      <c r="H51" s="82">
        <f t="shared" si="2"/>
        <v>21271.13</v>
      </c>
      <c r="I51" s="82">
        <f t="shared" si="1"/>
        <v>0</v>
      </c>
    </row>
    <row r="52" ht="12.75" customHeight="1">
      <c r="A52" s="81">
        <v>45768.0</v>
      </c>
      <c r="B52" s="82" t="s">
        <v>238</v>
      </c>
      <c r="C52" s="82" t="s">
        <v>90</v>
      </c>
      <c r="D52" s="82" t="s">
        <v>239</v>
      </c>
      <c r="E52" s="82">
        <v>20.0</v>
      </c>
      <c r="G52" s="82">
        <v>21251.13</v>
      </c>
      <c r="H52" s="82">
        <f t="shared" si="2"/>
        <v>21251.13</v>
      </c>
      <c r="I52" s="82">
        <f t="shared" si="1"/>
        <v>0</v>
      </c>
    </row>
    <row r="53" ht="12.75" customHeight="1">
      <c r="A53" s="81">
        <v>45772.0</v>
      </c>
      <c r="B53" s="82" t="s">
        <v>240</v>
      </c>
      <c r="C53" s="82" t="s">
        <v>100</v>
      </c>
      <c r="D53" s="82" t="s">
        <v>149</v>
      </c>
      <c r="E53" s="82">
        <v>180.9</v>
      </c>
      <c r="G53" s="82">
        <v>21070.23</v>
      </c>
      <c r="H53" s="82">
        <f t="shared" si="2"/>
        <v>21070.23</v>
      </c>
      <c r="I53" s="82">
        <f t="shared" si="1"/>
        <v>0</v>
      </c>
    </row>
    <row r="54" ht="12.75" customHeight="1">
      <c r="A54" s="81">
        <v>45773.0</v>
      </c>
      <c r="B54" s="82" t="s">
        <v>241</v>
      </c>
      <c r="C54" s="82" t="s">
        <v>242</v>
      </c>
      <c r="D54" s="82" t="s">
        <v>243</v>
      </c>
      <c r="E54" s="82">
        <v>2310.0</v>
      </c>
      <c r="G54" s="82">
        <v>18760.23</v>
      </c>
      <c r="H54" s="82">
        <f t="shared" si="2"/>
        <v>18760.23</v>
      </c>
      <c r="I54" s="82">
        <f t="shared" si="1"/>
        <v>0</v>
      </c>
    </row>
    <row r="55" ht="12.75" customHeight="1">
      <c r="A55" s="81">
        <v>45773.0</v>
      </c>
      <c r="B55" s="82" t="s">
        <v>244</v>
      </c>
      <c r="C55" s="82" t="s">
        <v>95</v>
      </c>
      <c r="D55" s="82" t="s">
        <v>245</v>
      </c>
      <c r="E55" s="82">
        <v>500.0</v>
      </c>
      <c r="G55" s="82">
        <v>18260.23</v>
      </c>
      <c r="H55" s="82">
        <f t="shared" si="2"/>
        <v>18260.23</v>
      </c>
      <c r="I55" s="82">
        <f t="shared" si="1"/>
        <v>0</v>
      </c>
    </row>
    <row r="56" ht="12.75" customHeight="1">
      <c r="A56" s="81">
        <v>45775.0</v>
      </c>
      <c r="B56" s="82" t="s">
        <v>246</v>
      </c>
      <c r="C56" s="82" t="s">
        <v>90</v>
      </c>
      <c r="D56" s="82" t="s">
        <v>247</v>
      </c>
      <c r="E56" s="82">
        <v>50.0</v>
      </c>
      <c r="G56" s="82">
        <v>18210.23</v>
      </c>
      <c r="H56" s="82">
        <f t="shared" si="2"/>
        <v>18210.23</v>
      </c>
      <c r="I56" s="82">
        <f t="shared" si="1"/>
        <v>0</v>
      </c>
    </row>
    <row r="57" ht="12.75" customHeight="1">
      <c r="A57" s="81">
        <v>45775.0</v>
      </c>
      <c r="B57" s="82" t="s">
        <v>248</v>
      </c>
      <c r="C57" s="82" t="s">
        <v>90</v>
      </c>
      <c r="D57" s="82" t="s">
        <v>249</v>
      </c>
      <c r="E57" s="82">
        <v>50.0</v>
      </c>
      <c r="G57" s="82">
        <v>18160.23</v>
      </c>
      <c r="H57" s="82">
        <f t="shared" si="2"/>
        <v>18160.23</v>
      </c>
      <c r="I57" s="82">
        <f t="shared" si="1"/>
        <v>0</v>
      </c>
    </row>
    <row r="58" ht="12.75" customHeight="1">
      <c r="A58" s="81">
        <v>45775.0</v>
      </c>
      <c r="B58" s="82" t="s">
        <v>250</v>
      </c>
      <c r="C58" s="82" t="s">
        <v>90</v>
      </c>
      <c r="D58" s="82" t="s">
        <v>251</v>
      </c>
      <c r="E58" s="82">
        <v>50.0</v>
      </c>
      <c r="G58" s="82">
        <v>18110.23</v>
      </c>
      <c r="H58" s="82">
        <f t="shared" si="2"/>
        <v>18110.23</v>
      </c>
      <c r="I58" s="82">
        <f t="shared" si="1"/>
        <v>0</v>
      </c>
    </row>
    <row r="59" ht="12.75" customHeight="1"/>
    <row r="60" ht="12.75" customHeight="1"/>
    <row r="61" ht="12.75" customHeight="1">
      <c r="E61" s="97">
        <f t="shared" ref="E61:F61" si="3">SUM(E2:E59)</f>
        <v>537695.05</v>
      </c>
      <c r="F61" s="97">
        <f t="shared" si="3"/>
        <v>519104.72</v>
      </c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23.63"/>
    <col customWidth="1" min="3" max="3" width="19.75"/>
    <col customWidth="1" min="4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14.88"/>
    <col customWidth="1" min="3" max="3" width="63.63"/>
    <col customWidth="1" min="4" max="4" width="70.63"/>
    <col customWidth="1" min="5" max="5" width="16.25"/>
    <col customWidth="1" min="6" max="6" width="12.38"/>
    <col customWidth="1" min="7" max="8" width="15.88"/>
    <col customWidth="1" min="9" max="9" width="12.38"/>
    <col customWidth="1" min="10" max="26" width="8.63"/>
  </cols>
  <sheetData>
    <row r="1" ht="12.75" customHeight="1">
      <c r="A1" s="80" t="s">
        <v>78</v>
      </c>
      <c r="B1" s="80" t="s">
        <v>138</v>
      </c>
      <c r="C1" s="80" t="s">
        <v>139</v>
      </c>
      <c r="D1" s="80" t="s">
        <v>140</v>
      </c>
      <c r="E1" s="80" t="s">
        <v>141</v>
      </c>
      <c r="F1" s="80" t="s">
        <v>142</v>
      </c>
      <c r="G1" s="80" t="s">
        <v>143</v>
      </c>
      <c r="H1" s="80" t="s">
        <v>143</v>
      </c>
      <c r="I1" s="80" t="s">
        <v>144</v>
      </c>
    </row>
    <row r="2" ht="12.75" customHeight="1">
      <c r="A2" s="81">
        <v>45779.0</v>
      </c>
      <c r="B2" s="82" t="s">
        <v>252</v>
      </c>
      <c r="C2" s="82" t="s">
        <v>146</v>
      </c>
      <c r="D2" s="82" t="s">
        <v>147</v>
      </c>
      <c r="F2" s="82">
        <v>126031.47</v>
      </c>
      <c r="G2" s="82">
        <v>144141.7</v>
      </c>
      <c r="H2" s="82">
        <v>144141.7</v>
      </c>
      <c r="I2" s="82">
        <v>0.0</v>
      </c>
    </row>
    <row r="3" ht="12.75" customHeight="1">
      <c r="A3" s="81">
        <v>45779.0</v>
      </c>
      <c r="B3" s="82" t="s">
        <v>253</v>
      </c>
      <c r="C3" s="82" t="s">
        <v>83</v>
      </c>
      <c r="D3" s="82" t="s">
        <v>160</v>
      </c>
      <c r="E3" s="82">
        <v>90842.0</v>
      </c>
      <c r="G3" s="82">
        <v>53299.7</v>
      </c>
      <c r="H3" s="82">
        <v>53299.70000000001</v>
      </c>
      <c r="I3" s="82">
        <v>0.0</v>
      </c>
    </row>
    <row r="4" ht="12.75" customHeight="1">
      <c r="A4" s="81">
        <v>45779.0</v>
      </c>
      <c r="B4" s="82" t="s">
        <v>254</v>
      </c>
      <c r="C4" s="82" t="s">
        <v>100</v>
      </c>
      <c r="D4" s="82" t="s">
        <v>149</v>
      </c>
      <c r="E4" s="82">
        <v>220.9</v>
      </c>
      <c r="G4" s="82">
        <v>53078.8</v>
      </c>
      <c r="H4" s="82">
        <v>53078.80000000001</v>
      </c>
      <c r="I4" s="82">
        <v>0.0</v>
      </c>
    </row>
    <row r="5" ht="12.75" customHeight="1">
      <c r="A5" s="81">
        <v>45779.0</v>
      </c>
      <c r="B5" s="82" t="s">
        <v>255</v>
      </c>
      <c r="C5" s="82" t="s">
        <v>100</v>
      </c>
      <c r="D5" s="82" t="s">
        <v>149</v>
      </c>
      <c r="E5" s="82">
        <v>300.9</v>
      </c>
      <c r="G5" s="82">
        <v>52777.9</v>
      </c>
      <c r="H5" s="82">
        <v>52777.90000000001</v>
      </c>
      <c r="I5" s="82">
        <v>0.0</v>
      </c>
    </row>
    <row r="6" ht="12.75" customHeight="1">
      <c r="A6" s="81">
        <v>45779.0</v>
      </c>
      <c r="B6" s="82" t="s">
        <v>256</v>
      </c>
      <c r="C6" s="83" t="s">
        <v>97</v>
      </c>
      <c r="D6" s="83" t="s">
        <v>257</v>
      </c>
      <c r="E6" s="82">
        <v>649.0</v>
      </c>
      <c r="G6" s="82">
        <v>52128.9</v>
      </c>
      <c r="H6" s="82">
        <v>52128.90000000001</v>
      </c>
      <c r="I6" s="82">
        <v>0.0</v>
      </c>
    </row>
    <row r="7" ht="12.75" customHeight="1">
      <c r="A7" s="81">
        <v>45782.0</v>
      </c>
      <c r="B7" s="82" t="s">
        <v>258</v>
      </c>
      <c r="C7" s="82" t="s">
        <v>91</v>
      </c>
      <c r="D7" s="82" t="s">
        <v>162</v>
      </c>
      <c r="E7" s="82">
        <v>18875.0</v>
      </c>
      <c r="G7" s="82">
        <v>33253.9</v>
      </c>
      <c r="H7" s="82">
        <v>33253.90000000001</v>
      </c>
      <c r="I7" s="82">
        <v>0.0</v>
      </c>
    </row>
    <row r="8" ht="12.75" customHeight="1">
      <c r="A8" s="81">
        <v>45783.0</v>
      </c>
      <c r="B8" s="82" t="s">
        <v>259</v>
      </c>
      <c r="C8" s="82" t="s">
        <v>91</v>
      </c>
      <c r="D8" s="82" t="s">
        <v>260</v>
      </c>
      <c r="E8" s="82">
        <v>8875.0</v>
      </c>
      <c r="G8" s="82">
        <v>24378.9</v>
      </c>
      <c r="H8" s="82">
        <v>24378.90000000001</v>
      </c>
      <c r="I8" s="82">
        <v>0.0</v>
      </c>
    </row>
    <row r="9" ht="12.75" customHeight="1">
      <c r="A9" s="81">
        <v>45783.0</v>
      </c>
      <c r="B9" s="82" t="s">
        <v>261</v>
      </c>
      <c r="C9" s="82" t="s">
        <v>87</v>
      </c>
      <c r="D9" s="82" t="s">
        <v>155</v>
      </c>
      <c r="E9" s="82">
        <v>3330.0</v>
      </c>
      <c r="G9" s="82">
        <v>21048.9</v>
      </c>
      <c r="H9" s="82">
        <v>21048.90000000001</v>
      </c>
      <c r="I9" s="82">
        <v>0.0</v>
      </c>
    </row>
    <row r="10" ht="12.75" customHeight="1">
      <c r="A10" s="81">
        <v>45784.0</v>
      </c>
      <c r="B10" s="82" t="s">
        <v>262</v>
      </c>
      <c r="C10" s="82" t="s">
        <v>104</v>
      </c>
      <c r="D10" s="82" t="s">
        <v>104</v>
      </c>
      <c r="E10" s="82">
        <v>5.9</v>
      </c>
      <c r="G10" s="82">
        <v>21043.0</v>
      </c>
      <c r="H10" s="82">
        <v>21043.000000000007</v>
      </c>
      <c r="I10" s="82">
        <v>0.0</v>
      </c>
    </row>
    <row r="11" ht="12.75" customHeight="1">
      <c r="A11" s="81">
        <v>45784.0</v>
      </c>
      <c r="B11" s="82" t="s">
        <v>263</v>
      </c>
      <c r="C11" s="83" t="s">
        <v>104</v>
      </c>
      <c r="D11" s="83" t="s">
        <v>104</v>
      </c>
      <c r="E11" s="82">
        <v>10.0</v>
      </c>
      <c r="G11" s="82">
        <v>21033.0</v>
      </c>
      <c r="H11" s="82">
        <v>21033.000000000007</v>
      </c>
      <c r="I11" s="82">
        <v>0.0</v>
      </c>
    </row>
    <row r="12" ht="12.75" customHeight="1">
      <c r="A12" s="81">
        <v>45784.0</v>
      </c>
      <c r="B12" s="82" t="s">
        <v>264</v>
      </c>
      <c r="C12" s="82" t="s">
        <v>108</v>
      </c>
      <c r="D12" s="82" t="s">
        <v>265</v>
      </c>
      <c r="E12" s="82">
        <v>200.0</v>
      </c>
      <c r="G12" s="82">
        <v>20833.0</v>
      </c>
      <c r="H12" s="82">
        <v>20833.000000000007</v>
      </c>
      <c r="I12" s="82">
        <v>0.0</v>
      </c>
    </row>
    <row r="13" ht="12.75" customHeight="1">
      <c r="A13" s="81">
        <v>45784.0</v>
      </c>
      <c r="B13" s="82" t="s">
        <v>266</v>
      </c>
      <c r="C13" s="82" t="s">
        <v>108</v>
      </c>
      <c r="D13" s="82" t="s">
        <v>267</v>
      </c>
      <c r="E13" s="82">
        <v>1000.0</v>
      </c>
      <c r="G13" s="82">
        <v>19833.0</v>
      </c>
      <c r="H13" s="82">
        <v>19833.000000000007</v>
      </c>
      <c r="I13" s="82">
        <v>0.0</v>
      </c>
    </row>
    <row r="14" ht="12.75" customHeight="1">
      <c r="A14" s="81">
        <v>45785.0</v>
      </c>
      <c r="B14" s="82" t="s">
        <v>268</v>
      </c>
      <c r="C14" s="83" t="s">
        <v>97</v>
      </c>
      <c r="D14" s="83" t="s">
        <v>166</v>
      </c>
      <c r="E14" s="82">
        <v>1628.4</v>
      </c>
      <c r="G14" s="82">
        <v>18204.6</v>
      </c>
      <c r="H14" s="82">
        <v>18204.600000000006</v>
      </c>
      <c r="I14" s="82">
        <v>0.0</v>
      </c>
    </row>
    <row r="15" ht="12.75" customHeight="1">
      <c r="A15" s="81">
        <v>45785.0</v>
      </c>
      <c r="B15" s="82" t="s">
        <v>269</v>
      </c>
      <c r="C15" s="82" t="s">
        <v>102</v>
      </c>
      <c r="D15" s="82" t="s">
        <v>270</v>
      </c>
      <c r="E15" s="82">
        <v>5000.0</v>
      </c>
      <c r="G15" s="82">
        <v>13204.6</v>
      </c>
      <c r="H15" s="82">
        <v>13204.600000000006</v>
      </c>
      <c r="I15" s="82">
        <v>0.0</v>
      </c>
    </row>
    <row r="16" ht="12.75" customHeight="1">
      <c r="A16" s="81">
        <v>45787.0</v>
      </c>
      <c r="B16" s="82" t="s">
        <v>271</v>
      </c>
      <c r="C16" s="82" t="s">
        <v>87</v>
      </c>
      <c r="D16" s="82" t="s">
        <v>272</v>
      </c>
      <c r="E16" s="82">
        <v>480.0</v>
      </c>
      <c r="G16" s="82">
        <v>12724.6</v>
      </c>
      <c r="H16" s="82">
        <v>12724.600000000006</v>
      </c>
      <c r="I16" s="82">
        <v>0.0</v>
      </c>
    </row>
    <row r="17" ht="12.75" customHeight="1">
      <c r="A17" s="81">
        <v>45787.0</v>
      </c>
      <c r="B17" s="82" t="s">
        <v>273</v>
      </c>
      <c r="C17" s="83" t="s">
        <v>106</v>
      </c>
      <c r="D17" s="83" t="s">
        <v>274</v>
      </c>
      <c r="E17" s="82">
        <v>6844.0</v>
      </c>
      <c r="G17" s="82">
        <v>5880.6</v>
      </c>
      <c r="H17" s="82">
        <v>5880.600000000006</v>
      </c>
      <c r="I17" s="82">
        <v>0.0</v>
      </c>
    </row>
    <row r="18" ht="12.75" customHeight="1">
      <c r="A18" s="81">
        <v>45789.0</v>
      </c>
      <c r="B18" s="82" t="s">
        <v>275</v>
      </c>
      <c r="C18" s="83" t="s">
        <v>107</v>
      </c>
      <c r="D18" s="83" t="s">
        <v>276</v>
      </c>
      <c r="E18" s="82">
        <v>1003.0</v>
      </c>
      <c r="G18" s="82">
        <v>4877.6</v>
      </c>
      <c r="H18" s="82">
        <v>4877.600000000006</v>
      </c>
      <c r="I18" s="82">
        <v>0.0</v>
      </c>
    </row>
    <row r="19" ht="12.75" customHeight="1">
      <c r="A19" s="81">
        <v>45789.0</v>
      </c>
      <c r="B19" s="82" t="s">
        <v>277</v>
      </c>
      <c r="C19" s="83" t="s">
        <v>104</v>
      </c>
      <c r="D19" s="83" t="s">
        <v>104</v>
      </c>
      <c r="E19" s="82">
        <v>23.6</v>
      </c>
      <c r="G19" s="82">
        <v>4854.0</v>
      </c>
      <c r="H19" s="82">
        <v>4854.0000000000055</v>
      </c>
      <c r="I19" s="82">
        <v>0.0</v>
      </c>
    </row>
    <row r="20" ht="12.75" customHeight="1">
      <c r="A20" s="81">
        <v>45789.0</v>
      </c>
      <c r="B20" s="82" t="s">
        <v>278</v>
      </c>
      <c r="C20" s="82" t="s">
        <v>173</v>
      </c>
      <c r="D20" s="82" t="s">
        <v>110</v>
      </c>
      <c r="F20" s="82">
        <v>187921.87</v>
      </c>
      <c r="G20" s="82">
        <v>192775.87</v>
      </c>
      <c r="H20" s="82">
        <v>192775.87</v>
      </c>
      <c r="I20" s="82">
        <v>0.0</v>
      </c>
    </row>
    <row r="21" ht="12.75" customHeight="1">
      <c r="A21" s="81">
        <v>45790.0</v>
      </c>
      <c r="B21" s="82" t="s">
        <v>279</v>
      </c>
      <c r="C21" s="83" t="s">
        <v>96</v>
      </c>
      <c r="D21" s="83" t="s">
        <v>175</v>
      </c>
      <c r="E21" s="82">
        <v>174793.0</v>
      </c>
      <c r="G21" s="82">
        <v>17982.87</v>
      </c>
      <c r="H21" s="82">
        <v>17982.869999999995</v>
      </c>
      <c r="I21" s="82">
        <v>0.0</v>
      </c>
    </row>
    <row r="22" ht="12.75" customHeight="1">
      <c r="A22" s="81">
        <v>45790.0</v>
      </c>
      <c r="B22" s="82" t="s">
        <v>280</v>
      </c>
      <c r="C22" s="83" t="s">
        <v>98</v>
      </c>
      <c r="D22" s="83" t="s">
        <v>281</v>
      </c>
      <c r="E22" s="82">
        <v>14000.0</v>
      </c>
      <c r="G22" s="82">
        <v>3982.87</v>
      </c>
      <c r="H22" s="82">
        <v>3982.8699999999953</v>
      </c>
      <c r="I22" s="82">
        <v>4.547473508864641E-12</v>
      </c>
    </row>
    <row r="23" ht="12.75" customHeight="1">
      <c r="A23" s="81">
        <v>45790.0</v>
      </c>
      <c r="B23" s="82" t="s">
        <v>282</v>
      </c>
      <c r="C23" s="82" t="s">
        <v>87</v>
      </c>
      <c r="D23" s="82" t="s">
        <v>171</v>
      </c>
      <c r="E23" s="82">
        <v>1675.0</v>
      </c>
      <c r="G23" s="82">
        <v>2307.87</v>
      </c>
      <c r="H23" s="82">
        <v>2307.8699999999953</v>
      </c>
      <c r="I23" s="82">
        <v>4.547473508864641E-12</v>
      </c>
    </row>
    <row r="24" ht="12.75" customHeight="1">
      <c r="A24" s="81">
        <v>45790.0</v>
      </c>
      <c r="B24" s="82" t="s">
        <v>283</v>
      </c>
      <c r="C24" s="82" t="s">
        <v>87</v>
      </c>
      <c r="D24" s="82" t="s">
        <v>155</v>
      </c>
      <c r="E24" s="82">
        <v>1665.0</v>
      </c>
      <c r="G24" s="82">
        <v>642.87</v>
      </c>
      <c r="H24" s="82">
        <v>642.8699999999953</v>
      </c>
      <c r="I24" s="82">
        <v>4.661160346586257E-12</v>
      </c>
    </row>
    <row r="25" ht="12.75" customHeight="1">
      <c r="A25" s="81">
        <v>45791.0</v>
      </c>
      <c r="B25" s="82" t="s">
        <v>284</v>
      </c>
      <c r="C25" s="82" t="s">
        <v>105</v>
      </c>
      <c r="D25" s="82" t="s">
        <v>103</v>
      </c>
      <c r="F25" s="82">
        <v>10.0</v>
      </c>
      <c r="G25" s="82">
        <v>652.87</v>
      </c>
      <c r="H25" s="82">
        <v>652.8699999999953</v>
      </c>
      <c r="I25" s="82">
        <v>4.661160346586257E-12</v>
      </c>
    </row>
    <row r="26" ht="12.75" customHeight="1">
      <c r="A26" s="81">
        <v>45794.0</v>
      </c>
      <c r="B26" s="82" t="s">
        <v>285</v>
      </c>
      <c r="C26" s="82" t="s">
        <v>146</v>
      </c>
      <c r="D26" s="82" t="s">
        <v>147</v>
      </c>
      <c r="F26" s="82">
        <v>127491.22</v>
      </c>
      <c r="G26" s="82">
        <v>128144.09</v>
      </c>
      <c r="H26" s="82">
        <v>128144.09</v>
      </c>
      <c r="I26" s="82">
        <v>0.0</v>
      </c>
    </row>
    <row r="27" ht="12.75" customHeight="1">
      <c r="A27" s="81">
        <v>45795.0</v>
      </c>
      <c r="B27" s="82" t="s">
        <v>286</v>
      </c>
      <c r="C27" s="82" t="s">
        <v>83</v>
      </c>
      <c r="D27" s="82" t="s">
        <v>218</v>
      </c>
      <c r="E27" s="82">
        <v>73962.0</v>
      </c>
      <c r="G27" s="82">
        <v>54182.09</v>
      </c>
      <c r="H27" s="82">
        <v>54182.09</v>
      </c>
      <c r="I27" s="82">
        <v>0.0</v>
      </c>
    </row>
    <row r="28" ht="12.75" customHeight="1">
      <c r="A28" s="81">
        <v>45795.0</v>
      </c>
      <c r="B28" s="82" t="s">
        <v>287</v>
      </c>
      <c r="C28" s="82" t="s">
        <v>86</v>
      </c>
      <c r="D28" s="82" t="s">
        <v>288</v>
      </c>
      <c r="E28" s="82">
        <v>32437.0</v>
      </c>
      <c r="G28" s="82">
        <v>21745.09</v>
      </c>
      <c r="H28" s="82">
        <v>21745.089999999997</v>
      </c>
      <c r="I28" s="82">
        <v>0.0</v>
      </c>
    </row>
    <row r="29" ht="12.75" customHeight="1">
      <c r="A29" s="81">
        <v>45795.0</v>
      </c>
      <c r="B29" s="82" t="s">
        <v>289</v>
      </c>
      <c r="C29" s="82" t="s">
        <v>86</v>
      </c>
      <c r="D29" s="82" t="s">
        <v>290</v>
      </c>
      <c r="E29" s="82">
        <v>3600.0</v>
      </c>
      <c r="G29" s="82">
        <v>18145.09</v>
      </c>
      <c r="H29" s="82">
        <v>18145.089999999997</v>
      </c>
      <c r="I29" s="82">
        <v>0.0</v>
      </c>
    </row>
    <row r="30" ht="12.75" customHeight="1">
      <c r="A30" s="81">
        <v>45795.0</v>
      </c>
      <c r="B30" s="82" t="s">
        <v>291</v>
      </c>
      <c r="C30" s="82" t="s">
        <v>86</v>
      </c>
      <c r="D30" s="82" t="s">
        <v>292</v>
      </c>
      <c r="E30" s="82">
        <v>3600.0</v>
      </c>
      <c r="G30" s="82">
        <v>14545.09</v>
      </c>
      <c r="H30" s="82">
        <v>14545.089999999997</v>
      </c>
      <c r="I30" s="82">
        <v>0.0</v>
      </c>
    </row>
    <row r="31" ht="12.75" customHeight="1">
      <c r="A31" s="81">
        <v>45795.0</v>
      </c>
      <c r="B31" s="82" t="s">
        <v>293</v>
      </c>
      <c r="C31" s="82" t="s">
        <v>86</v>
      </c>
      <c r="D31" s="82" t="s">
        <v>294</v>
      </c>
      <c r="E31" s="82">
        <v>3600.0</v>
      </c>
      <c r="G31" s="82">
        <v>10945.09</v>
      </c>
      <c r="H31" s="82">
        <v>10945.089999999997</v>
      </c>
      <c r="I31" s="82">
        <v>0.0</v>
      </c>
    </row>
    <row r="32" ht="12.75" customHeight="1">
      <c r="A32" s="81">
        <v>45797.0</v>
      </c>
      <c r="B32" s="82" t="s">
        <v>295</v>
      </c>
      <c r="C32" s="83" t="s">
        <v>92</v>
      </c>
      <c r="D32" s="83" t="s">
        <v>236</v>
      </c>
      <c r="E32" s="82">
        <v>3308.0</v>
      </c>
      <c r="G32" s="82">
        <v>7637.09</v>
      </c>
      <c r="H32" s="82">
        <v>7637.0899999999965</v>
      </c>
      <c r="I32" s="82">
        <v>0.0</v>
      </c>
    </row>
    <row r="33" ht="12.75" customHeight="1">
      <c r="A33" s="81">
        <v>45797.0</v>
      </c>
      <c r="B33" s="82" t="s">
        <v>296</v>
      </c>
      <c r="C33" s="83" t="s">
        <v>107</v>
      </c>
      <c r="D33" s="82" t="s">
        <v>158</v>
      </c>
      <c r="E33" s="82">
        <v>1003.0</v>
      </c>
      <c r="G33" s="82">
        <v>6634.09</v>
      </c>
      <c r="H33" s="82">
        <v>6634.0899999999965</v>
      </c>
      <c r="I33" s="82">
        <v>0.0</v>
      </c>
    </row>
    <row r="34" ht="12.75" customHeight="1">
      <c r="A34" s="81">
        <v>45798.0</v>
      </c>
      <c r="B34" s="82" t="s">
        <v>297</v>
      </c>
      <c r="C34" s="82" t="s">
        <v>102</v>
      </c>
      <c r="D34" s="82" t="s">
        <v>298</v>
      </c>
      <c r="E34" s="82">
        <v>5000.0</v>
      </c>
      <c r="G34" s="82">
        <v>1634.09</v>
      </c>
      <c r="H34" s="82">
        <v>1634.0899999999965</v>
      </c>
      <c r="I34" s="82">
        <v>3.410605131648481E-12</v>
      </c>
    </row>
    <row r="35" ht="12.75" customHeight="1">
      <c r="A35" s="81">
        <v>45799.0</v>
      </c>
      <c r="B35" s="82" t="s">
        <v>299</v>
      </c>
      <c r="C35" s="82" t="s">
        <v>87</v>
      </c>
      <c r="D35" s="82" t="s">
        <v>171</v>
      </c>
      <c r="E35" s="82">
        <v>750.0</v>
      </c>
      <c r="G35" s="82">
        <v>884.09</v>
      </c>
      <c r="H35" s="82">
        <v>884.0899999999965</v>
      </c>
      <c r="I35" s="82">
        <v>3.524291969370097E-12</v>
      </c>
    </row>
    <row r="36" ht="12.75" customHeight="1">
      <c r="A36" s="81">
        <v>45799.0</v>
      </c>
      <c r="B36" s="82" t="s">
        <v>300</v>
      </c>
      <c r="C36" s="82" t="s">
        <v>100</v>
      </c>
      <c r="D36" s="82" t="s">
        <v>149</v>
      </c>
      <c r="E36" s="82">
        <v>300.9</v>
      </c>
      <c r="G36" s="82">
        <v>583.19</v>
      </c>
      <c r="H36" s="82">
        <v>583.1899999999965</v>
      </c>
      <c r="I36" s="82">
        <v>3.524291969370097E-12</v>
      </c>
    </row>
    <row r="37" ht="12.75" customHeight="1">
      <c r="A37" s="81">
        <v>45806.0</v>
      </c>
      <c r="B37" s="82" t="s">
        <v>301</v>
      </c>
      <c r="C37" s="83" t="s">
        <v>103</v>
      </c>
      <c r="D37" s="82" t="s">
        <v>302</v>
      </c>
      <c r="F37" s="82">
        <v>4500.0</v>
      </c>
      <c r="G37" s="82">
        <v>5083.19</v>
      </c>
      <c r="H37" s="82">
        <v>5083.189999999997</v>
      </c>
      <c r="I37" s="82">
        <v>0.0</v>
      </c>
    </row>
    <row r="38" ht="12.75" customHeight="1">
      <c r="A38" s="81">
        <v>45806.0</v>
      </c>
      <c r="B38" s="82" t="s">
        <v>303</v>
      </c>
      <c r="C38" s="83" t="s">
        <v>107</v>
      </c>
      <c r="D38" s="83" t="s">
        <v>276</v>
      </c>
      <c r="E38" s="82">
        <v>1003.0</v>
      </c>
      <c r="G38" s="82">
        <v>4080.19</v>
      </c>
      <c r="H38" s="82">
        <v>4080.189999999997</v>
      </c>
      <c r="I38" s="82">
        <v>0.0</v>
      </c>
    </row>
    <row r="39" ht="12.75" customHeight="1">
      <c r="A39" s="81">
        <v>45806.0</v>
      </c>
      <c r="B39" s="82" t="s">
        <v>304</v>
      </c>
      <c r="C39" s="83" t="s">
        <v>87</v>
      </c>
      <c r="D39" s="82" t="s">
        <v>155</v>
      </c>
      <c r="E39" s="82">
        <v>3300.0</v>
      </c>
      <c r="G39" s="82">
        <v>780.19</v>
      </c>
      <c r="H39" s="82">
        <v>780.1899999999969</v>
      </c>
      <c r="I39" s="82">
        <v>3.183231456205249E-12</v>
      </c>
    </row>
    <row r="40" ht="12.75" customHeight="1">
      <c r="A40" s="81">
        <v>45806.0</v>
      </c>
      <c r="B40" s="82" t="s">
        <v>305</v>
      </c>
      <c r="C40" s="83" t="s">
        <v>108</v>
      </c>
      <c r="D40" s="82" t="s">
        <v>306</v>
      </c>
      <c r="E40" s="82">
        <v>100.0</v>
      </c>
      <c r="G40" s="82">
        <v>680.19</v>
      </c>
      <c r="H40" s="82">
        <v>680.1899999999969</v>
      </c>
      <c r="I40" s="82">
        <v>3.183231456205249E-12</v>
      </c>
    </row>
    <row r="41" ht="12.75" customHeight="1">
      <c r="A41" s="81">
        <v>45807.0</v>
      </c>
      <c r="B41" s="82" t="s">
        <v>307</v>
      </c>
      <c r="C41" s="83" t="s">
        <v>100</v>
      </c>
      <c r="D41" s="82" t="s">
        <v>149</v>
      </c>
      <c r="E41" s="82">
        <v>196.9</v>
      </c>
      <c r="G41" s="82">
        <v>483.29</v>
      </c>
      <c r="H41" s="82">
        <v>483.2899999999969</v>
      </c>
      <c r="I41" s="82">
        <v>3.126388037344441E-12</v>
      </c>
    </row>
    <row r="42" ht="12.75" customHeight="1">
      <c r="A42" s="81">
        <v>45807.0</v>
      </c>
      <c r="B42" s="82" t="s">
        <v>308</v>
      </c>
      <c r="C42" s="83" t="s">
        <v>100</v>
      </c>
      <c r="D42" s="82" t="s">
        <v>149</v>
      </c>
      <c r="E42" s="82">
        <v>300.9</v>
      </c>
      <c r="G42" s="82">
        <v>182.39</v>
      </c>
      <c r="H42" s="82">
        <v>182.38999999999692</v>
      </c>
      <c r="I42" s="82">
        <v>3.069544618483633E-12</v>
      </c>
    </row>
    <row r="43" ht="12.75" customHeight="1"/>
    <row r="44" ht="12.75" customHeight="1">
      <c r="E44" s="97">
        <f t="shared" ref="E44:F44" si="1">SUM(E2:E43)</f>
        <v>463882.4</v>
      </c>
      <c r="F44" s="97">
        <f t="shared" si="1"/>
        <v>445954.56</v>
      </c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23.63"/>
    <col customWidth="1" min="3" max="3" width="19.75"/>
    <col customWidth="1" min="4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14.88"/>
    <col customWidth="1" min="3" max="3" width="63.63"/>
    <col customWidth="1" min="4" max="4" width="71.63"/>
    <col customWidth="1" min="5" max="5" width="16.25"/>
    <col customWidth="1" min="6" max="6" width="12.38"/>
    <col customWidth="1" min="7" max="8" width="15.88"/>
    <col customWidth="1" min="9" max="9" width="12.38"/>
    <col customWidth="1" min="10" max="26" width="8.63"/>
  </cols>
  <sheetData>
    <row r="1" ht="12.75" customHeight="1">
      <c r="A1" s="80" t="s">
        <v>78</v>
      </c>
      <c r="B1" s="80" t="s">
        <v>138</v>
      </c>
      <c r="C1" s="80" t="s">
        <v>139</v>
      </c>
      <c r="D1" s="80" t="s">
        <v>140</v>
      </c>
      <c r="E1" s="80" t="s">
        <v>141</v>
      </c>
      <c r="F1" s="80" t="s">
        <v>142</v>
      </c>
      <c r="G1" s="80" t="s">
        <v>143</v>
      </c>
      <c r="H1" s="80" t="s">
        <v>143</v>
      </c>
      <c r="I1" s="80" t="s">
        <v>144</v>
      </c>
    </row>
    <row r="2" ht="12.75" customHeight="1">
      <c r="A2" s="81">
        <v>45809.0</v>
      </c>
      <c r="B2" s="82" t="s">
        <v>309</v>
      </c>
      <c r="C2" s="83" t="s">
        <v>87</v>
      </c>
      <c r="D2" s="82" t="s">
        <v>195</v>
      </c>
      <c r="E2" s="82">
        <v>139.0</v>
      </c>
      <c r="G2" s="82">
        <v>43.39</v>
      </c>
      <c r="H2" s="82">
        <v>43.38999999999692</v>
      </c>
      <c r="I2" s="82">
        <v>3.083755473198835E-12</v>
      </c>
    </row>
    <row r="3" ht="12.75" customHeight="1">
      <c r="A3" s="81">
        <v>45810.0</v>
      </c>
      <c r="B3" s="82" t="s">
        <v>310</v>
      </c>
      <c r="C3" s="82" t="s">
        <v>173</v>
      </c>
      <c r="D3" s="82" t="s">
        <v>109</v>
      </c>
      <c r="E3" s="82"/>
      <c r="F3" s="82">
        <v>21920.58</v>
      </c>
      <c r="G3" s="82">
        <v>21963.97</v>
      </c>
      <c r="H3" s="82">
        <v>21963.969999999998</v>
      </c>
      <c r="I3" s="82">
        <v>0.0</v>
      </c>
    </row>
    <row r="4" ht="12.75" customHeight="1">
      <c r="A4" s="81">
        <v>45810.0</v>
      </c>
      <c r="B4" s="82" t="s">
        <v>311</v>
      </c>
      <c r="C4" s="82" t="s">
        <v>173</v>
      </c>
      <c r="D4" s="82" t="s">
        <v>110</v>
      </c>
      <c r="E4" s="82"/>
      <c r="F4" s="82">
        <v>60470.32</v>
      </c>
      <c r="G4" s="82">
        <v>82434.29</v>
      </c>
      <c r="H4" s="82">
        <v>82434.29</v>
      </c>
      <c r="I4" s="82">
        <v>0.0</v>
      </c>
    </row>
    <row r="5" ht="12.75" customHeight="1">
      <c r="A5" s="81">
        <v>45811.0</v>
      </c>
      <c r="B5" s="82" t="s">
        <v>312</v>
      </c>
      <c r="C5" s="83" t="s">
        <v>87</v>
      </c>
      <c r="D5" s="82" t="s">
        <v>171</v>
      </c>
      <c r="E5" s="82">
        <v>800.0</v>
      </c>
      <c r="G5" s="82">
        <v>81634.29</v>
      </c>
      <c r="H5" s="82">
        <v>81634.29</v>
      </c>
      <c r="I5" s="82">
        <v>0.0</v>
      </c>
    </row>
    <row r="6" ht="12.75" customHeight="1">
      <c r="A6" s="81">
        <v>45811.0</v>
      </c>
      <c r="B6" s="82" t="s">
        <v>313</v>
      </c>
      <c r="C6" s="83" t="s">
        <v>146</v>
      </c>
      <c r="D6" s="82" t="s">
        <v>147</v>
      </c>
      <c r="E6" s="82"/>
      <c r="F6" s="82">
        <v>127191.08</v>
      </c>
      <c r="G6" s="82">
        <v>208825.37</v>
      </c>
      <c r="H6" s="82">
        <v>208825.37</v>
      </c>
      <c r="I6" s="82">
        <v>0.0</v>
      </c>
    </row>
    <row r="7" ht="12.75" customHeight="1">
      <c r="A7" s="81">
        <v>45811.0</v>
      </c>
      <c r="B7" s="82" t="s">
        <v>314</v>
      </c>
      <c r="C7" s="83" t="s">
        <v>97</v>
      </c>
      <c r="D7" s="82" t="s">
        <v>257</v>
      </c>
      <c r="E7" s="82">
        <v>649.0</v>
      </c>
      <c r="G7" s="82">
        <v>208176.37</v>
      </c>
      <c r="H7" s="82">
        <v>208176.37</v>
      </c>
      <c r="I7" s="82">
        <v>0.0</v>
      </c>
    </row>
    <row r="8" ht="12.75" customHeight="1">
      <c r="A8" s="81">
        <v>45812.0</v>
      </c>
      <c r="B8" s="82" t="s">
        <v>315</v>
      </c>
      <c r="C8" s="83" t="s">
        <v>83</v>
      </c>
      <c r="D8" s="82" t="s">
        <v>160</v>
      </c>
      <c r="E8" s="82">
        <v>90842.0</v>
      </c>
      <c r="G8" s="82">
        <v>117334.37</v>
      </c>
      <c r="H8" s="82">
        <v>117334.37</v>
      </c>
      <c r="I8" s="82">
        <v>0.0</v>
      </c>
    </row>
    <row r="9" ht="12.75" customHeight="1">
      <c r="A9" s="81">
        <v>45812.0</v>
      </c>
      <c r="B9" s="82" t="s">
        <v>316</v>
      </c>
      <c r="C9" s="83" t="s">
        <v>104</v>
      </c>
      <c r="D9" s="82" t="s">
        <v>104</v>
      </c>
      <c r="E9" s="82">
        <v>15.1</v>
      </c>
      <c r="G9" s="82">
        <v>117319.27</v>
      </c>
      <c r="H9" s="82">
        <v>117319.26999999999</v>
      </c>
      <c r="I9" s="82">
        <v>0.0</v>
      </c>
    </row>
    <row r="10" ht="12.75" customHeight="1">
      <c r="A10" s="81">
        <v>45812.0</v>
      </c>
      <c r="B10" s="82" t="s">
        <v>317</v>
      </c>
      <c r="C10" s="83" t="s">
        <v>88</v>
      </c>
      <c r="D10" s="82" t="s">
        <v>153</v>
      </c>
      <c r="E10" s="82">
        <v>588.82</v>
      </c>
      <c r="G10" s="82">
        <v>116730.45</v>
      </c>
      <c r="H10" s="82">
        <v>116730.44999999998</v>
      </c>
      <c r="I10" s="82">
        <v>0.0</v>
      </c>
    </row>
    <row r="11" ht="12.75" customHeight="1">
      <c r="A11" s="81">
        <v>45812.0</v>
      </c>
      <c r="B11" s="82" t="s">
        <v>318</v>
      </c>
      <c r="C11" s="83" t="s">
        <v>87</v>
      </c>
      <c r="D11" s="82" t="s">
        <v>155</v>
      </c>
      <c r="E11" s="82">
        <v>1800.0</v>
      </c>
      <c r="G11" s="82">
        <v>114930.45</v>
      </c>
      <c r="H11" s="82">
        <v>114930.44999999998</v>
      </c>
      <c r="I11" s="82">
        <v>0.0</v>
      </c>
    </row>
    <row r="12" ht="12.75" customHeight="1">
      <c r="A12" s="81">
        <v>45813.0</v>
      </c>
      <c r="B12" s="82" t="s">
        <v>319</v>
      </c>
      <c r="C12" s="83" t="s">
        <v>91</v>
      </c>
      <c r="D12" s="82" t="s">
        <v>162</v>
      </c>
      <c r="E12" s="82">
        <v>18875.0</v>
      </c>
      <c r="G12" s="82">
        <v>96055.45</v>
      </c>
      <c r="H12" s="82">
        <v>96055.44999999998</v>
      </c>
      <c r="I12" s="82">
        <v>0.0</v>
      </c>
    </row>
    <row r="13" ht="12.75" customHeight="1">
      <c r="A13" s="81">
        <v>45813.0</v>
      </c>
      <c r="B13" s="82" t="s">
        <v>320</v>
      </c>
      <c r="C13" s="83" t="s">
        <v>83</v>
      </c>
      <c r="D13" s="82" t="s">
        <v>218</v>
      </c>
      <c r="E13" s="82">
        <v>77992.0</v>
      </c>
      <c r="G13" s="82">
        <v>18063.45</v>
      </c>
      <c r="H13" s="82">
        <v>18063.449999999983</v>
      </c>
      <c r="I13" s="82">
        <v>0.0</v>
      </c>
    </row>
    <row r="14" ht="12.75" customHeight="1">
      <c r="A14" s="81">
        <v>45814.0</v>
      </c>
      <c r="B14" s="82" t="s">
        <v>321</v>
      </c>
      <c r="C14" s="83" t="s">
        <v>120</v>
      </c>
      <c r="D14" s="82" t="s">
        <v>197</v>
      </c>
      <c r="E14" s="82"/>
      <c r="F14" s="82">
        <v>60000.0</v>
      </c>
      <c r="G14" s="82">
        <v>78063.45</v>
      </c>
      <c r="H14" s="82">
        <v>78063.44999999998</v>
      </c>
      <c r="I14" s="82">
        <v>0.0</v>
      </c>
    </row>
    <row r="15" ht="12.75" customHeight="1">
      <c r="A15" s="81">
        <v>45815.0</v>
      </c>
      <c r="B15" s="82" t="s">
        <v>322</v>
      </c>
      <c r="C15" s="82" t="s">
        <v>173</v>
      </c>
      <c r="D15" s="82"/>
      <c r="E15" s="82"/>
      <c r="F15" s="82">
        <v>175000.0</v>
      </c>
      <c r="G15" s="82">
        <v>253063.45</v>
      </c>
      <c r="H15" s="82">
        <v>253063.44999999998</v>
      </c>
      <c r="I15" s="82">
        <v>0.0</v>
      </c>
    </row>
    <row r="16" ht="12.75" customHeight="1">
      <c r="A16" s="81">
        <v>45817.0</v>
      </c>
      <c r="B16" s="82" t="s">
        <v>323</v>
      </c>
      <c r="C16" s="83" t="s">
        <v>97</v>
      </c>
      <c r="D16" s="83" t="s">
        <v>166</v>
      </c>
      <c r="E16" s="82">
        <v>1628.4</v>
      </c>
      <c r="G16" s="82">
        <v>251435.05</v>
      </c>
      <c r="H16" s="82">
        <v>251435.05</v>
      </c>
      <c r="I16" s="82">
        <v>0.0</v>
      </c>
    </row>
    <row r="17" ht="12.75" customHeight="1">
      <c r="A17" s="81">
        <v>45818.0</v>
      </c>
      <c r="B17" s="82" t="s">
        <v>324</v>
      </c>
      <c r="C17" s="83" t="s">
        <v>96</v>
      </c>
      <c r="D17" s="82" t="s">
        <v>175</v>
      </c>
      <c r="E17" s="82">
        <v>153526.0</v>
      </c>
      <c r="G17" s="82">
        <v>97909.05</v>
      </c>
      <c r="H17" s="82">
        <v>97909.04999999999</v>
      </c>
      <c r="I17" s="82">
        <v>0.0</v>
      </c>
    </row>
    <row r="18" ht="12.75" customHeight="1">
      <c r="A18" s="81">
        <v>45818.0</v>
      </c>
      <c r="B18" s="82" t="s">
        <v>325</v>
      </c>
      <c r="C18" s="83" t="s">
        <v>98</v>
      </c>
      <c r="D18" s="82" t="s">
        <v>190</v>
      </c>
      <c r="E18" s="82">
        <v>7000.0</v>
      </c>
      <c r="G18" s="82">
        <v>90909.05</v>
      </c>
      <c r="H18" s="82">
        <v>90909.04999999999</v>
      </c>
      <c r="I18" s="82">
        <v>0.0</v>
      </c>
    </row>
    <row r="19" ht="12.75" customHeight="1">
      <c r="A19" s="81">
        <v>45818.0</v>
      </c>
      <c r="B19" s="82" t="s">
        <v>326</v>
      </c>
      <c r="C19" s="83" t="s">
        <v>98</v>
      </c>
      <c r="D19" s="82" t="s">
        <v>179</v>
      </c>
      <c r="E19" s="82">
        <v>6860.0</v>
      </c>
      <c r="G19" s="82">
        <v>84049.05</v>
      </c>
      <c r="H19" s="82">
        <v>84049.04999999999</v>
      </c>
      <c r="I19" s="82">
        <v>0.0</v>
      </c>
    </row>
    <row r="20" ht="12.75" customHeight="1">
      <c r="A20" s="81">
        <v>45818.0</v>
      </c>
      <c r="B20" s="82" t="s">
        <v>327</v>
      </c>
      <c r="C20" s="82" t="s">
        <v>98</v>
      </c>
      <c r="D20" s="82" t="s">
        <v>181</v>
      </c>
      <c r="E20" s="82">
        <v>4200.0</v>
      </c>
      <c r="G20" s="82">
        <v>79849.05</v>
      </c>
      <c r="H20" s="82">
        <v>79849.04999999999</v>
      </c>
      <c r="I20" s="82">
        <v>0.0</v>
      </c>
    </row>
    <row r="21" ht="12.75" customHeight="1">
      <c r="A21" s="81">
        <v>45818.0</v>
      </c>
      <c r="B21" s="82" t="s">
        <v>328</v>
      </c>
      <c r="C21" s="82" t="s">
        <v>98</v>
      </c>
      <c r="D21" s="82" t="s">
        <v>183</v>
      </c>
      <c r="E21" s="82">
        <v>6440.0</v>
      </c>
      <c r="G21" s="82">
        <v>73409.05</v>
      </c>
      <c r="H21" s="82">
        <v>73409.04999999999</v>
      </c>
      <c r="I21" s="82">
        <v>0.0</v>
      </c>
    </row>
    <row r="22" ht="12.75" customHeight="1">
      <c r="A22" s="81">
        <v>45818.0</v>
      </c>
      <c r="B22" s="82" t="s">
        <v>329</v>
      </c>
      <c r="C22" s="82" t="s">
        <v>98</v>
      </c>
      <c r="D22" s="82" t="s">
        <v>177</v>
      </c>
      <c r="E22" s="82">
        <v>3000.0</v>
      </c>
      <c r="G22" s="82">
        <v>70409.05</v>
      </c>
      <c r="H22" s="82">
        <v>70409.04999999999</v>
      </c>
      <c r="I22" s="82">
        <v>0.0</v>
      </c>
    </row>
    <row r="23" ht="12.75" customHeight="1">
      <c r="A23" s="81">
        <v>45818.0</v>
      </c>
      <c r="B23" s="82" t="s">
        <v>330</v>
      </c>
      <c r="C23" s="82" t="s">
        <v>98</v>
      </c>
      <c r="D23" s="82" t="s">
        <v>331</v>
      </c>
      <c r="E23" s="82">
        <v>5880.0</v>
      </c>
      <c r="G23" s="82">
        <v>64529.05</v>
      </c>
      <c r="H23" s="82">
        <v>64529.04999999999</v>
      </c>
      <c r="I23" s="82">
        <v>0.0</v>
      </c>
    </row>
    <row r="24" ht="12.75" customHeight="1">
      <c r="A24" s="81">
        <v>45818.0</v>
      </c>
      <c r="B24" s="82" t="s">
        <v>332</v>
      </c>
      <c r="C24" s="82" t="s">
        <v>98</v>
      </c>
      <c r="D24" s="82" t="s">
        <v>333</v>
      </c>
      <c r="E24" s="82">
        <v>8400.0</v>
      </c>
      <c r="G24" s="82">
        <v>56129.05</v>
      </c>
      <c r="H24" s="82">
        <v>56129.04999999999</v>
      </c>
      <c r="I24" s="82">
        <v>0.0</v>
      </c>
    </row>
    <row r="25" ht="12.75" customHeight="1">
      <c r="A25" s="81">
        <v>45818.0</v>
      </c>
      <c r="B25" s="82" t="s">
        <v>334</v>
      </c>
      <c r="C25" s="82" t="s">
        <v>98</v>
      </c>
      <c r="D25" s="82" t="s">
        <v>335</v>
      </c>
      <c r="E25" s="82">
        <v>5040.0</v>
      </c>
      <c r="G25" s="82">
        <v>51089.05</v>
      </c>
      <c r="H25" s="82">
        <v>51089.04999999999</v>
      </c>
      <c r="I25" s="82">
        <v>0.0</v>
      </c>
    </row>
    <row r="26" ht="12.75" customHeight="1">
      <c r="A26" s="81">
        <v>45818.0</v>
      </c>
      <c r="B26" s="82" t="s">
        <v>336</v>
      </c>
      <c r="C26" s="82" t="s">
        <v>98</v>
      </c>
      <c r="D26" s="82" t="s">
        <v>226</v>
      </c>
      <c r="E26" s="82">
        <v>2200.0</v>
      </c>
      <c r="G26" s="82">
        <v>48889.05</v>
      </c>
      <c r="H26" s="82">
        <v>48889.04999999999</v>
      </c>
      <c r="I26" s="82">
        <v>0.0</v>
      </c>
    </row>
    <row r="27" ht="12.75" customHeight="1">
      <c r="A27" s="81">
        <v>45818.0</v>
      </c>
      <c r="B27" s="82" t="s">
        <v>337</v>
      </c>
      <c r="C27" s="82" t="s">
        <v>98</v>
      </c>
      <c r="D27" s="82" t="s">
        <v>338</v>
      </c>
      <c r="E27" s="82">
        <v>7000.0</v>
      </c>
      <c r="G27" s="82">
        <v>41889.05</v>
      </c>
      <c r="H27" s="82">
        <v>41889.04999999999</v>
      </c>
      <c r="I27" s="82">
        <v>0.0</v>
      </c>
    </row>
    <row r="28" ht="12.75" customHeight="1">
      <c r="A28" s="81">
        <v>45818.0</v>
      </c>
      <c r="B28" s="82" t="s">
        <v>339</v>
      </c>
      <c r="C28" s="82" t="s">
        <v>98</v>
      </c>
      <c r="D28" s="82" t="s">
        <v>192</v>
      </c>
      <c r="E28" s="82">
        <v>6137.0</v>
      </c>
      <c r="G28" s="82">
        <v>35752.05</v>
      </c>
      <c r="H28" s="82">
        <v>35752.04999999999</v>
      </c>
      <c r="I28" s="82">
        <v>0.0</v>
      </c>
    </row>
    <row r="29" ht="12.75" customHeight="1">
      <c r="A29" s="81">
        <v>45819.0</v>
      </c>
      <c r="B29" s="82" t="s">
        <v>340</v>
      </c>
      <c r="C29" s="82" t="s">
        <v>111</v>
      </c>
      <c r="D29" s="82" t="s">
        <v>341</v>
      </c>
      <c r="E29" s="82">
        <v>23.6</v>
      </c>
      <c r="G29" s="82">
        <v>35728.45</v>
      </c>
      <c r="H29" s="82">
        <v>35728.44999999999</v>
      </c>
      <c r="I29" s="82">
        <v>0.0</v>
      </c>
    </row>
    <row r="30" ht="12.75" customHeight="1">
      <c r="A30" s="81">
        <v>45820.0</v>
      </c>
      <c r="B30" s="82" t="s">
        <v>342</v>
      </c>
      <c r="C30" s="82" t="s">
        <v>98</v>
      </c>
      <c r="D30" s="82" t="s">
        <v>343</v>
      </c>
      <c r="E30" s="82">
        <v>6000.0</v>
      </c>
      <c r="G30" s="82">
        <v>29728.45</v>
      </c>
      <c r="H30" s="82">
        <v>29728.44999999999</v>
      </c>
      <c r="I30" s="82">
        <v>0.0</v>
      </c>
    </row>
    <row r="31" ht="12.75" customHeight="1">
      <c r="A31" s="81">
        <v>45820.0</v>
      </c>
      <c r="B31" s="82" t="s">
        <v>344</v>
      </c>
      <c r="C31" s="82" t="s">
        <v>98</v>
      </c>
      <c r="D31" s="82" t="s">
        <v>199</v>
      </c>
      <c r="E31" s="82">
        <v>5460.0</v>
      </c>
      <c r="G31" s="82">
        <v>24268.45</v>
      </c>
      <c r="H31" s="82">
        <v>24268.44999999999</v>
      </c>
      <c r="I31" s="82">
        <v>0.0</v>
      </c>
    </row>
    <row r="32" ht="12.75" customHeight="1">
      <c r="A32" s="81">
        <v>45820.0</v>
      </c>
      <c r="B32" s="82" t="s">
        <v>345</v>
      </c>
      <c r="C32" s="82" t="s">
        <v>98</v>
      </c>
      <c r="D32" s="82" t="s">
        <v>188</v>
      </c>
      <c r="E32" s="82">
        <v>5880.0</v>
      </c>
      <c r="G32" s="82">
        <v>18388.45</v>
      </c>
      <c r="H32" s="82">
        <v>18388.44999999999</v>
      </c>
      <c r="I32" s="82">
        <v>0.0</v>
      </c>
    </row>
    <row r="33" ht="12.75" customHeight="1">
      <c r="A33" s="81">
        <v>45820.0</v>
      </c>
      <c r="B33" s="82" t="s">
        <v>346</v>
      </c>
      <c r="C33" s="82" t="s">
        <v>98</v>
      </c>
      <c r="D33" s="82" t="s">
        <v>347</v>
      </c>
      <c r="E33" s="82">
        <v>4220.0</v>
      </c>
      <c r="G33" s="82">
        <v>14168.45</v>
      </c>
      <c r="H33" s="82">
        <v>14168.44999999999</v>
      </c>
      <c r="I33" s="82">
        <v>0.0</v>
      </c>
    </row>
    <row r="34" ht="12.75" customHeight="1">
      <c r="A34" s="81">
        <v>45820.0</v>
      </c>
      <c r="B34" s="82" t="s">
        <v>348</v>
      </c>
      <c r="C34" s="82" t="s">
        <v>87</v>
      </c>
      <c r="D34" s="82" t="s">
        <v>155</v>
      </c>
      <c r="E34" s="82">
        <v>1550.0</v>
      </c>
      <c r="G34" s="82">
        <v>12618.45</v>
      </c>
      <c r="H34" s="82">
        <v>12618.44999999999</v>
      </c>
      <c r="I34" s="82">
        <v>0.0</v>
      </c>
    </row>
    <row r="35" ht="12.75" customHeight="1">
      <c r="A35" s="81">
        <v>45820.0</v>
      </c>
      <c r="B35" s="82" t="s">
        <v>349</v>
      </c>
      <c r="C35" s="82" t="s">
        <v>120</v>
      </c>
      <c r="D35" s="82" t="s">
        <v>197</v>
      </c>
      <c r="E35" s="82">
        <v>12000.0</v>
      </c>
      <c r="G35" s="82">
        <v>618.45</v>
      </c>
      <c r="H35" s="82">
        <v>618.4499999999898</v>
      </c>
      <c r="I35" s="82">
        <v>1.0231815394945443E-11</v>
      </c>
    </row>
    <row r="36" ht="12.75" customHeight="1">
      <c r="A36" s="81">
        <v>45823.0</v>
      </c>
      <c r="B36" s="82" t="s">
        <v>350</v>
      </c>
      <c r="C36" s="82" t="s">
        <v>87</v>
      </c>
      <c r="D36" s="82" t="s">
        <v>195</v>
      </c>
      <c r="E36" s="82">
        <v>442.0</v>
      </c>
      <c r="G36" s="82">
        <v>176.45</v>
      </c>
      <c r="H36" s="82">
        <v>176.4499999999898</v>
      </c>
      <c r="I36" s="82">
        <v>1.0174971976084635E-11</v>
      </c>
    </row>
    <row r="37" ht="12.75" customHeight="1">
      <c r="A37" s="81">
        <v>45824.0</v>
      </c>
      <c r="B37" s="82" t="s">
        <v>351</v>
      </c>
      <c r="C37" s="82" t="s">
        <v>173</v>
      </c>
      <c r="D37" s="82" t="s">
        <v>110</v>
      </c>
      <c r="E37" s="82"/>
      <c r="F37" s="82">
        <v>112495.75</v>
      </c>
      <c r="G37" s="82">
        <v>112672.2</v>
      </c>
      <c r="H37" s="82">
        <v>112672.19999999998</v>
      </c>
      <c r="I37" s="82">
        <v>0.0</v>
      </c>
    </row>
    <row r="38" ht="12.75" customHeight="1">
      <c r="A38" s="81">
        <v>45824.0</v>
      </c>
      <c r="B38" s="82" t="s">
        <v>352</v>
      </c>
      <c r="C38" s="83" t="s">
        <v>92</v>
      </c>
      <c r="D38" s="83" t="s">
        <v>353</v>
      </c>
      <c r="E38" s="82">
        <v>10000.0</v>
      </c>
      <c r="G38" s="82">
        <v>102672.2</v>
      </c>
      <c r="H38" s="82">
        <v>102672.19999999998</v>
      </c>
      <c r="I38" s="82">
        <v>0.0</v>
      </c>
    </row>
    <row r="39" ht="12.75" customHeight="1">
      <c r="A39" s="81">
        <v>45825.0</v>
      </c>
      <c r="B39" s="82" t="s">
        <v>354</v>
      </c>
      <c r="C39" s="82" t="s">
        <v>146</v>
      </c>
      <c r="D39" s="82" t="s">
        <v>147</v>
      </c>
      <c r="E39" s="82"/>
      <c r="F39" s="82">
        <v>127870.31</v>
      </c>
      <c r="G39" s="82">
        <v>230542.51</v>
      </c>
      <c r="H39" s="82">
        <v>230542.50999999998</v>
      </c>
      <c r="I39" s="82">
        <v>0.0</v>
      </c>
    </row>
    <row r="40" ht="12.75" customHeight="1">
      <c r="A40" s="81">
        <v>45825.0</v>
      </c>
      <c r="B40" s="82" t="s">
        <v>355</v>
      </c>
      <c r="C40" s="82" t="s">
        <v>86</v>
      </c>
      <c r="D40" s="82" t="s">
        <v>356</v>
      </c>
      <c r="E40" s="82">
        <v>3600.0</v>
      </c>
      <c r="G40" s="82">
        <v>226942.51</v>
      </c>
      <c r="H40" s="82">
        <v>226942.50999999998</v>
      </c>
      <c r="I40" s="82">
        <v>0.0</v>
      </c>
    </row>
    <row r="41" ht="12.75" customHeight="1">
      <c r="A41" s="81">
        <v>45825.0</v>
      </c>
      <c r="B41" s="82" t="s">
        <v>357</v>
      </c>
      <c r="C41" s="82" t="s">
        <v>86</v>
      </c>
      <c r="D41" s="82" t="s">
        <v>358</v>
      </c>
      <c r="E41" s="82">
        <v>3600.0</v>
      </c>
      <c r="G41" s="82">
        <v>223342.51</v>
      </c>
      <c r="H41" s="82">
        <v>223342.50999999998</v>
      </c>
      <c r="I41" s="82">
        <v>0.0</v>
      </c>
    </row>
    <row r="42" ht="12.75" customHeight="1">
      <c r="A42" s="81">
        <v>45825.0</v>
      </c>
      <c r="B42" s="82" t="s">
        <v>359</v>
      </c>
      <c r="C42" s="82" t="s">
        <v>86</v>
      </c>
      <c r="D42" s="82" t="s">
        <v>360</v>
      </c>
      <c r="E42" s="82">
        <v>3600.0</v>
      </c>
      <c r="G42" s="82">
        <v>219742.51</v>
      </c>
      <c r="H42" s="82">
        <v>219742.50999999998</v>
      </c>
      <c r="I42" s="82">
        <v>0.0</v>
      </c>
    </row>
    <row r="43" ht="12.75" customHeight="1">
      <c r="A43" s="81">
        <v>45825.0</v>
      </c>
      <c r="B43" s="82" t="s">
        <v>361</v>
      </c>
      <c r="C43" s="82" t="s">
        <v>123</v>
      </c>
      <c r="D43" s="82" t="s">
        <v>362</v>
      </c>
      <c r="E43" s="82">
        <v>5000.0</v>
      </c>
      <c r="G43" s="82">
        <v>214742.51</v>
      </c>
      <c r="H43" s="82">
        <v>214742.50999999998</v>
      </c>
      <c r="I43" s="82">
        <v>0.0</v>
      </c>
    </row>
    <row r="44" ht="12.75" customHeight="1">
      <c r="A44" s="81">
        <v>45826.0</v>
      </c>
      <c r="B44" s="82" t="s">
        <v>363</v>
      </c>
      <c r="C44" s="82" t="s">
        <v>108</v>
      </c>
      <c r="D44" s="82" t="s">
        <v>364</v>
      </c>
      <c r="E44" s="82">
        <v>1000.0</v>
      </c>
      <c r="G44" s="82">
        <v>213742.51</v>
      </c>
      <c r="H44" s="82">
        <v>213742.50999999998</v>
      </c>
      <c r="I44" s="82">
        <v>0.0</v>
      </c>
    </row>
    <row r="45" ht="12.75" customHeight="1">
      <c r="A45" s="81">
        <v>45826.0</v>
      </c>
      <c r="B45" s="82" t="s">
        <v>365</v>
      </c>
      <c r="C45" s="82" t="s">
        <v>86</v>
      </c>
      <c r="D45" s="82" t="s">
        <v>366</v>
      </c>
      <c r="E45" s="82">
        <v>30300.0</v>
      </c>
      <c r="G45" s="82">
        <v>183442.51</v>
      </c>
      <c r="H45" s="82">
        <v>183442.50999999998</v>
      </c>
      <c r="I45" s="82">
        <v>0.0</v>
      </c>
    </row>
    <row r="46" ht="12.75" customHeight="1">
      <c r="A46" s="81">
        <v>45826.0</v>
      </c>
      <c r="B46" s="82" t="s">
        <v>367</v>
      </c>
      <c r="C46" s="82" t="s">
        <v>87</v>
      </c>
      <c r="D46" s="82" t="s">
        <v>155</v>
      </c>
      <c r="E46" s="82">
        <v>500.0</v>
      </c>
      <c r="G46" s="82">
        <v>182942.51</v>
      </c>
      <c r="H46" s="82">
        <v>182942.50999999998</v>
      </c>
      <c r="I46" s="82">
        <v>0.0</v>
      </c>
    </row>
    <row r="47" ht="12.75" customHeight="1">
      <c r="A47" s="81">
        <v>45827.0</v>
      </c>
      <c r="B47" s="82" t="s">
        <v>368</v>
      </c>
      <c r="C47" s="82" t="s">
        <v>87</v>
      </c>
      <c r="D47" s="82" t="s">
        <v>155</v>
      </c>
      <c r="E47" s="82">
        <v>1515.0</v>
      </c>
      <c r="G47" s="82">
        <v>181427.51</v>
      </c>
      <c r="H47" s="82">
        <v>181427.50999999998</v>
      </c>
      <c r="I47" s="82">
        <v>0.0</v>
      </c>
    </row>
    <row r="48" ht="12.75" customHeight="1">
      <c r="A48" s="81">
        <v>45827.0</v>
      </c>
      <c r="B48" s="82" t="s">
        <v>369</v>
      </c>
      <c r="C48" s="82" t="s">
        <v>120</v>
      </c>
      <c r="D48" s="82" t="s">
        <v>197</v>
      </c>
      <c r="E48" s="82">
        <v>130000.0</v>
      </c>
      <c r="G48" s="82">
        <v>51427.51</v>
      </c>
      <c r="H48" s="82">
        <v>51427.50999999998</v>
      </c>
      <c r="I48" s="82">
        <v>0.0</v>
      </c>
    </row>
    <row r="49" ht="12.75" customHeight="1">
      <c r="A49" s="81">
        <v>45828.0</v>
      </c>
      <c r="B49" s="82" t="s">
        <v>370</v>
      </c>
      <c r="C49" s="82" t="s">
        <v>90</v>
      </c>
      <c r="D49" s="82" t="s">
        <v>371</v>
      </c>
      <c r="E49" s="82">
        <v>2274.0</v>
      </c>
      <c r="G49" s="82">
        <v>49153.51</v>
      </c>
      <c r="H49" s="82">
        <v>49153.50999999998</v>
      </c>
      <c r="I49" s="82">
        <v>0.0</v>
      </c>
    </row>
    <row r="50" ht="12.75" customHeight="1">
      <c r="A50" s="81">
        <v>45828.0</v>
      </c>
      <c r="B50" s="82" t="s">
        <v>372</v>
      </c>
      <c r="C50" s="83" t="s">
        <v>106</v>
      </c>
      <c r="D50" s="83" t="s">
        <v>274</v>
      </c>
      <c r="E50" s="82">
        <v>7100.0</v>
      </c>
      <c r="G50" s="82">
        <v>42053.51</v>
      </c>
      <c r="H50" s="82">
        <v>42053.50999999998</v>
      </c>
      <c r="I50" s="82">
        <v>0.0</v>
      </c>
    </row>
    <row r="51" ht="12.75" customHeight="1">
      <c r="A51" s="81">
        <v>45828.0</v>
      </c>
      <c r="B51" s="82" t="s">
        <v>373</v>
      </c>
      <c r="C51" s="82" t="s">
        <v>92</v>
      </c>
      <c r="D51" s="82" t="s">
        <v>236</v>
      </c>
      <c r="E51" s="82">
        <v>3308.0</v>
      </c>
      <c r="G51" s="82">
        <v>38745.51</v>
      </c>
      <c r="H51" s="82">
        <v>38745.50999999998</v>
      </c>
      <c r="I51" s="82">
        <v>0.0</v>
      </c>
    </row>
    <row r="52" ht="12.75" customHeight="1">
      <c r="A52" s="81">
        <v>45828.0</v>
      </c>
      <c r="B52" s="82" t="s">
        <v>374</v>
      </c>
      <c r="C52" s="82" t="s">
        <v>114</v>
      </c>
      <c r="D52" s="82" t="s">
        <v>375</v>
      </c>
      <c r="E52" s="82">
        <v>2000.0</v>
      </c>
      <c r="G52" s="82">
        <v>36745.51</v>
      </c>
      <c r="H52" s="82">
        <v>36745.50999999998</v>
      </c>
      <c r="I52" s="82">
        <v>0.0</v>
      </c>
    </row>
    <row r="53" ht="12.75" customHeight="1">
      <c r="A53" s="81">
        <v>45828.0</v>
      </c>
      <c r="B53" s="82" t="s">
        <v>376</v>
      </c>
      <c r="C53" s="82" t="s">
        <v>98</v>
      </c>
      <c r="D53" s="82" t="s">
        <v>377</v>
      </c>
      <c r="E53" s="82">
        <v>2000.0</v>
      </c>
      <c r="G53" s="82">
        <v>34745.51</v>
      </c>
      <c r="H53" s="82">
        <v>34745.50999999998</v>
      </c>
      <c r="I53" s="82">
        <v>0.0</v>
      </c>
    </row>
    <row r="54" ht="12.75" customHeight="1">
      <c r="A54" s="81">
        <v>45829.0</v>
      </c>
      <c r="B54" s="82" t="s">
        <v>378</v>
      </c>
      <c r="C54" s="82" t="s">
        <v>122</v>
      </c>
      <c r="D54" s="82" t="s">
        <v>379</v>
      </c>
      <c r="E54" s="82"/>
      <c r="F54" s="82">
        <v>250000.0</v>
      </c>
      <c r="G54" s="82">
        <v>284745.51</v>
      </c>
      <c r="H54" s="82">
        <v>284745.51</v>
      </c>
      <c r="I54" s="82">
        <v>0.0</v>
      </c>
    </row>
    <row r="55" ht="12.75" customHeight="1">
      <c r="A55" s="81">
        <v>45829.0</v>
      </c>
      <c r="B55" s="82" t="s">
        <v>380</v>
      </c>
      <c r="C55" s="82" t="s">
        <v>87</v>
      </c>
      <c r="D55" s="82" t="s">
        <v>171</v>
      </c>
      <c r="E55" s="82">
        <v>2450.0</v>
      </c>
      <c r="G55" s="82">
        <v>282295.51</v>
      </c>
      <c r="H55" s="82">
        <v>282295.51</v>
      </c>
      <c r="I55" s="82">
        <v>0.0</v>
      </c>
    </row>
    <row r="56" ht="12.75" customHeight="1">
      <c r="A56" s="81">
        <v>45829.0</v>
      </c>
      <c r="B56" s="82" t="s">
        <v>381</v>
      </c>
      <c r="C56" s="82" t="s">
        <v>120</v>
      </c>
      <c r="D56" s="82" t="s">
        <v>197</v>
      </c>
      <c r="E56" s="82">
        <v>250000.0</v>
      </c>
      <c r="G56" s="82">
        <v>32295.51</v>
      </c>
      <c r="H56" s="82">
        <v>32295.51000000001</v>
      </c>
      <c r="I56" s="82">
        <v>0.0</v>
      </c>
    </row>
    <row r="57" ht="12.75" customHeight="1">
      <c r="A57" s="81">
        <v>45831.0</v>
      </c>
      <c r="B57" s="82" t="s">
        <v>382</v>
      </c>
      <c r="C57" s="82" t="s">
        <v>81</v>
      </c>
      <c r="D57" s="82" t="s">
        <v>383</v>
      </c>
      <c r="E57" s="82">
        <v>50.0</v>
      </c>
      <c r="G57" s="82">
        <v>32245.51</v>
      </c>
      <c r="H57" s="82">
        <v>32245.51000000001</v>
      </c>
      <c r="I57" s="82">
        <v>0.0</v>
      </c>
    </row>
    <row r="58" ht="12.75" customHeight="1">
      <c r="A58" s="81">
        <v>45831.0</v>
      </c>
      <c r="B58" s="82" t="s">
        <v>384</v>
      </c>
      <c r="C58" s="82" t="s">
        <v>100</v>
      </c>
      <c r="D58" s="82" t="s">
        <v>149</v>
      </c>
      <c r="E58" s="82">
        <v>180.9</v>
      </c>
      <c r="G58" s="82">
        <v>32064.61</v>
      </c>
      <c r="H58" s="82">
        <v>32064.610000000008</v>
      </c>
      <c r="I58" s="82">
        <v>0.0</v>
      </c>
    </row>
    <row r="59" ht="12.75" customHeight="1">
      <c r="A59" s="81">
        <v>45834.0</v>
      </c>
      <c r="B59" s="82" t="s">
        <v>385</v>
      </c>
      <c r="C59" s="82" t="s">
        <v>87</v>
      </c>
      <c r="D59" s="82" t="s">
        <v>171</v>
      </c>
      <c r="E59" s="82">
        <v>770.0</v>
      </c>
      <c r="G59" s="82">
        <v>31294.61</v>
      </c>
      <c r="H59" s="82">
        <v>31294.610000000008</v>
      </c>
      <c r="I59" s="82">
        <v>0.0</v>
      </c>
    </row>
    <row r="60" ht="12.75" customHeight="1">
      <c r="A60" s="81">
        <v>45835.0</v>
      </c>
      <c r="B60" s="82" t="s">
        <v>386</v>
      </c>
      <c r="C60" s="82" t="s">
        <v>87</v>
      </c>
      <c r="D60" s="82" t="s">
        <v>387</v>
      </c>
      <c r="E60" s="82">
        <v>999.0</v>
      </c>
      <c r="G60" s="82">
        <v>30295.61</v>
      </c>
      <c r="H60" s="82">
        <v>30295.610000000008</v>
      </c>
      <c r="I60" s="82">
        <v>0.0</v>
      </c>
    </row>
    <row r="61" ht="12.75" customHeight="1">
      <c r="A61" s="81">
        <v>45835.0</v>
      </c>
      <c r="B61" s="82" t="s">
        <v>388</v>
      </c>
      <c r="C61" s="82" t="s">
        <v>87</v>
      </c>
      <c r="D61" s="82" t="s">
        <v>155</v>
      </c>
      <c r="E61" s="82">
        <v>3070.0</v>
      </c>
      <c r="G61" s="82">
        <v>27225.61</v>
      </c>
      <c r="H61" s="82">
        <v>27225.610000000008</v>
      </c>
      <c r="I61" s="82">
        <v>0.0</v>
      </c>
    </row>
    <row r="62" ht="12.75" customHeight="1">
      <c r="A62" s="81">
        <v>45838.0</v>
      </c>
      <c r="B62" s="82" t="s">
        <v>389</v>
      </c>
      <c r="C62" s="82" t="s">
        <v>100</v>
      </c>
      <c r="D62" s="82" t="s">
        <v>149</v>
      </c>
      <c r="E62" s="82">
        <v>300.9</v>
      </c>
      <c r="G62" s="82">
        <v>26924.71</v>
      </c>
      <c r="H62" s="82">
        <v>26924.710000000006</v>
      </c>
      <c r="I62" s="82">
        <v>0.0</v>
      </c>
    </row>
    <row r="63" ht="12.75" customHeight="1">
      <c r="A63" s="81">
        <v>45838.0</v>
      </c>
      <c r="B63" s="82" t="s">
        <v>390</v>
      </c>
      <c r="C63" s="83" t="s">
        <v>89</v>
      </c>
      <c r="D63" s="83" t="s">
        <v>234</v>
      </c>
      <c r="E63" s="82">
        <v>500.0</v>
      </c>
      <c r="G63" s="82">
        <v>26424.71</v>
      </c>
      <c r="H63" s="82">
        <v>26424.710000000006</v>
      </c>
      <c r="I63" s="82">
        <v>0.0</v>
      </c>
    </row>
    <row r="64" ht="12.75" customHeight="1">
      <c r="A64" s="81">
        <v>45838.0</v>
      </c>
      <c r="B64" s="82" t="s">
        <v>391</v>
      </c>
      <c r="C64" s="82" t="s">
        <v>81</v>
      </c>
      <c r="D64" s="82" t="s">
        <v>392</v>
      </c>
      <c r="E64" s="82">
        <v>250.0</v>
      </c>
      <c r="G64" s="82">
        <v>26174.71</v>
      </c>
      <c r="H64" s="82">
        <v>26174.710000000006</v>
      </c>
      <c r="I64" s="82">
        <v>0.0</v>
      </c>
    </row>
    <row r="65" ht="12.75" customHeight="1">
      <c r="A65" s="81">
        <v>45838.0</v>
      </c>
      <c r="B65" s="82" t="s">
        <v>393</v>
      </c>
      <c r="C65" s="82" t="s">
        <v>173</v>
      </c>
      <c r="D65" s="82" t="s">
        <v>112</v>
      </c>
      <c r="E65" s="82"/>
      <c r="F65" s="82">
        <v>8850.0</v>
      </c>
      <c r="G65" s="82">
        <v>35024.71</v>
      </c>
      <c r="H65" s="82">
        <v>35024.71000000001</v>
      </c>
      <c r="I65" s="82">
        <v>0.0</v>
      </c>
    </row>
    <row r="66" ht="12.75" customHeight="1">
      <c r="A66" s="81">
        <v>45838.0</v>
      </c>
      <c r="B66" s="82" t="s">
        <v>394</v>
      </c>
      <c r="C66" s="82" t="s">
        <v>100</v>
      </c>
      <c r="D66" s="82" t="s">
        <v>149</v>
      </c>
      <c r="E66" s="82">
        <v>300.9</v>
      </c>
      <c r="G66" s="82">
        <v>34723.81</v>
      </c>
      <c r="H66" s="82">
        <v>34723.810000000005</v>
      </c>
      <c r="I66" s="82">
        <v>0.0</v>
      </c>
    </row>
    <row r="67" ht="12.75" customHeight="1">
      <c r="A67" s="81">
        <v>45838.0</v>
      </c>
      <c r="B67" s="82" t="s">
        <v>395</v>
      </c>
      <c r="C67" s="82" t="s">
        <v>94</v>
      </c>
      <c r="D67" s="82" t="s">
        <v>158</v>
      </c>
      <c r="E67" s="82">
        <v>3009.0</v>
      </c>
      <c r="G67" s="82">
        <v>31714.81</v>
      </c>
      <c r="H67" s="82">
        <v>31714.810000000005</v>
      </c>
      <c r="I67" s="82">
        <v>0.0</v>
      </c>
    </row>
    <row r="68" ht="12.75" customHeight="1"/>
    <row r="69" ht="12.75" customHeight="1">
      <c r="E69" s="97">
        <f t="shared" ref="E69:F69" si="1">SUM(E2:E68)</f>
        <v>912265.62</v>
      </c>
      <c r="F69" s="97">
        <f t="shared" si="1"/>
        <v>943798.04</v>
      </c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19.75"/>
    <col customWidth="1" min="3" max="3" width="23.63"/>
    <col customWidth="1" min="4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21.13"/>
    <col customWidth="1" min="3" max="3" width="63.63"/>
    <col customWidth="1" min="4" max="4" width="70.75"/>
    <col customWidth="1" min="5" max="5" width="16.25"/>
    <col customWidth="1" min="6" max="6" width="12.38"/>
    <col customWidth="1" min="7" max="8" width="15.88"/>
    <col customWidth="1" min="9" max="9" width="13.13"/>
    <col customWidth="1" min="10" max="26" width="8.63"/>
  </cols>
  <sheetData>
    <row r="1" ht="12.75" customHeight="1">
      <c r="A1" s="80" t="s">
        <v>78</v>
      </c>
      <c r="B1" s="80" t="s">
        <v>138</v>
      </c>
      <c r="C1" s="80" t="s">
        <v>139</v>
      </c>
      <c r="D1" s="80" t="s">
        <v>140</v>
      </c>
      <c r="E1" s="80" t="s">
        <v>141</v>
      </c>
      <c r="F1" s="80" t="s">
        <v>142</v>
      </c>
      <c r="G1" s="80" t="s">
        <v>143</v>
      </c>
      <c r="H1" s="80" t="s">
        <v>143</v>
      </c>
      <c r="I1" s="80" t="s">
        <v>144</v>
      </c>
    </row>
    <row r="2" ht="12.75" customHeight="1">
      <c r="A2" s="81">
        <v>45839.0</v>
      </c>
      <c r="B2" s="82" t="s">
        <v>396</v>
      </c>
      <c r="C2" s="83" t="s">
        <v>97</v>
      </c>
      <c r="D2" s="83" t="s">
        <v>166</v>
      </c>
      <c r="E2" s="82">
        <v>1628.4</v>
      </c>
      <c r="G2" s="82">
        <v>30086.41</v>
      </c>
      <c r="H2" s="82">
        <v>30086.410000000003</v>
      </c>
      <c r="I2" s="82">
        <v>0.0</v>
      </c>
    </row>
    <row r="3" ht="12.75" customHeight="1">
      <c r="A3" s="81">
        <v>45841.0</v>
      </c>
      <c r="B3" s="82" t="s">
        <v>397</v>
      </c>
      <c r="C3" s="82" t="s">
        <v>87</v>
      </c>
      <c r="D3" s="82" t="s">
        <v>171</v>
      </c>
      <c r="E3" s="82">
        <v>700.0</v>
      </c>
      <c r="G3" s="82">
        <v>29386.41</v>
      </c>
      <c r="H3" s="82">
        <v>29386.410000000003</v>
      </c>
      <c r="I3" s="82">
        <v>0.0</v>
      </c>
    </row>
    <row r="4" ht="12.75" customHeight="1">
      <c r="A4" s="81">
        <v>45841.0</v>
      </c>
      <c r="B4" s="82" t="s">
        <v>398</v>
      </c>
      <c r="C4" s="82" t="s">
        <v>123</v>
      </c>
      <c r="D4" s="82" t="s">
        <v>399</v>
      </c>
      <c r="E4" s="82">
        <v>500.0</v>
      </c>
      <c r="G4" s="82">
        <v>28886.41</v>
      </c>
      <c r="H4" s="82">
        <v>28886.410000000003</v>
      </c>
      <c r="I4" s="82">
        <v>0.0</v>
      </c>
    </row>
    <row r="5" ht="12.75" customHeight="1">
      <c r="A5" s="81">
        <v>45842.0</v>
      </c>
      <c r="B5" s="82" t="s">
        <v>400</v>
      </c>
      <c r="C5" s="82" t="s">
        <v>146</v>
      </c>
      <c r="D5" s="82" t="s">
        <v>147</v>
      </c>
      <c r="F5" s="82">
        <v>127472.0</v>
      </c>
      <c r="G5" s="82">
        <v>156358.41</v>
      </c>
      <c r="H5" s="82">
        <v>156358.41</v>
      </c>
      <c r="I5" s="82">
        <v>0.0</v>
      </c>
    </row>
    <row r="6" ht="12.75" customHeight="1">
      <c r="A6" s="81">
        <v>45843.0</v>
      </c>
      <c r="B6" s="82" t="s">
        <v>401</v>
      </c>
      <c r="C6" s="82" t="s">
        <v>83</v>
      </c>
      <c r="D6" s="82" t="s">
        <v>160</v>
      </c>
      <c r="E6" s="82">
        <v>90842.0</v>
      </c>
      <c r="G6" s="82">
        <v>65516.41</v>
      </c>
      <c r="H6" s="82">
        <v>65516.41</v>
      </c>
      <c r="I6" s="82">
        <v>0.0</v>
      </c>
    </row>
    <row r="7" ht="12.75" customHeight="1">
      <c r="A7" s="81">
        <v>45843.0</v>
      </c>
      <c r="B7" s="82" t="s">
        <v>402</v>
      </c>
      <c r="C7" s="83" t="s">
        <v>91</v>
      </c>
      <c r="D7" s="82" t="s">
        <v>162</v>
      </c>
      <c r="E7" s="82">
        <v>18875.0</v>
      </c>
      <c r="G7" s="82">
        <v>46641.41</v>
      </c>
      <c r="H7" s="82">
        <v>46641.41</v>
      </c>
      <c r="I7" s="82">
        <v>0.0</v>
      </c>
    </row>
    <row r="8" ht="12.75" customHeight="1">
      <c r="A8" s="81">
        <v>45843.0</v>
      </c>
      <c r="B8" s="82" t="s">
        <v>403</v>
      </c>
      <c r="C8" s="83" t="s">
        <v>91</v>
      </c>
      <c r="D8" s="82" t="s">
        <v>260</v>
      </c>
      <c r="E8" s="82">
        <v>18875.0</v>
      </c>
      <c r="G8" s="82">
        <v>27766.41</v>
      </c>
      <c r="H8" s="82">
        <v>27766.410000000003</v>
      </c>
      <c r="I8" s="82">
        <v>0.0</v>
      </c>
    </row>
    <row r="9" ht="12.75" customHeight="1">
      <c r="A9" s="81">
        <v>45843.0</v>
      </c>
      <c r="B9" s="82" t="s">
        <v>404</v>
      </c>
      <c r="C9" s="82" t="s">
        <v>405</v>
      </c>
      <c r="D9" s="82" t="s">
        <v>160</v>
      </c>
      <c r="F9" s="82">
        <v>3000.0</v>
      </c>
      <c r="G9" s="82">
        <v>30766.41</v>
      </c>
      <c r="H9" s="82">
        <v>30766.410000000003</v>
      </c>
      <c r="I9" s="82">
        <v>0.0</v>
      </c>
    </row>
    <row r="10" ht="12.75" customHeight="1">
      <c r="A10" s="81">
        <v>45843.0</v>
      </c>
      <c r="B10" s="82" t="s">
        <v>406</v>
      </c>
      <c r="C10" s="82" t="s">
        <v>123</v>
      </c>
      <c r="D10" s="82" t="s">
        <v>399</v>
      </c>
      <c r="E10" s="82">
        <v>2050.0</v>
      </c>
      <c r="G10" s="82">
        <v>28716.41</v>
      </c>
      <c r="H10" s="82">
        <v>28716.410000000003</v>
      </c>
      <c r="I10" s="82">
        <v>0.0</v>
      </c>
    </row>
    <row r="11" ht="12.75" customHeight="1">
      <c r="A11" s="81">
        <v>45843.0</v>
      </c>
      <c r="B11" s="82" t="s">
        <v>407</v>
      </c>
      <c r="C11" s="82" t="s">
        <v>123</v>
      </c>
      <c r="D11" s="82" t="s">
        <v>399</v>
      </c>
      <c r="E11" s="82">
        <v>100.0</v>
      </c>
      <c r="G11" s="82">
        <v>28616.41</v>
      </c>
      <c r="H11" s="82">
        <v>28616.410000000003</v>
      </c>
      <c r="I11" s="82">
        <v>0.0</v>
      </c>
    </row>
    <row r="12" ht="12.75" customHeight="1">
      <c r="A12" s="81">
        <v>45843.0</v>
      </c>
      <c r="B12" s="82" t="s">
        <v>408</v>
      </c>
      <c r="C12" s="83" t="s">
        <v>106</v>
      </c>
      <c r="D12" s="83" t="s">
        <v>409</v>
      </c>
      <c r="F12" s="82">
        <v>2970.0</v>
      </c>
      <c r="G12" s="82">
        <v>31586.41</v>
      </c>
      <c r="H12" s="82">
        <v>31586.410000000003</v>
      </c>
      <c r="I12" s="82">
        <v>0.0</v>
      </c>
    </row>
    <row r="13" ht="12.75" customHeight="1">
      <c r="A13" s="81">
        <v>45844.0</v>
      </c>
      <c r="B13" s="82" t="s">
        <v>410</v>
      </c>
      <c r="C13" s="82" t="s">
        <v>123</v>
      </c>
      <c r="D13" s="82" t="s">
        <v>399</v>
      </c>
      <c r="E13" s="82">
        <v>670.0</v>
      </c>
      <c r="G13" s="82">
        <v>30916.41</v>
      </c>
      <c r="H13" s="82">
        <v>30916.410000000003</v>
      </c>
      <c r="I13" s="82">
        <v>0.0</v>
      </c>
    </row>
    <row r="14" ht="12.75" customHeight="1">
      <c r="A14" s="81">
        <v>45844.0</v>
      </c>
      <c r="B14" s="82" t="s">
        <v>411</v>
      </c>
      <c r="C14" s="82" t="s">
        <v>123</v>
      </c>
      <c r="D14" s="82" t="s">
        <v>399</v>
      </c>
      <c r="E14" s="82">
        <v>1148.6</v>
      </c>
      <c r="G14" s="82">
        <v>29767.81</v>
      </c>
      <c r="H14" s="82">
        <v>29767.810000000005</v>
      </c>
      <c r="I14" s="82">
        <v>0.0</v>
      </c>
    </row>
    <row r="15" ht="12.75" customHeight="1">
      <c r="A15" s="81">
        <v>45845.0</v>
      </c>
      <c r="B15" s="82" t="s">
        <v>412</v>
      </c>
      <c r="C15" s="82" t="s">
        <v>173</v>
      </c>
      <c r="D15" s="82" t="s">
        <v>413</v>
      </c>
      <c r="F15" s="82">
        <v>10620.0</v>
      </c>
      <c r="G15" s="82">
        <v>40387.81</v>
      </c>
      <c r="H15" s="82">
        <v>40387.810000000005</v>
      </c>
      <c r="I15" s="82">
        <v>0.0</v>
      </c>
    </row>
    <row r="16" ht="12.75" customHeight="1">
      <c r="A16" s="81">
        <v>45845.0</v>
      </c>
      <c r="B16" s="82" t="s">
        <v>414</v>
      </c>
      <c r="C16" s="82" t="s">
        <v>85</v>
      </c>
      <c r="D16" s="82" t="s">
        <v>151</v>
      </c>
      <c r="E16" s="82">
        <v>24629.0</v>
      </c>
      <c r="G16" s="82">
        <v>15758.81</v>
      </c>
      <c r="H16" s="82">
        <v>15758.810000000005</v>
      </c>
      <c r="I16" s="82">
        <v>0.0</v>
      </c>
    </row>
    <row r="17" ht="12.75" customHeight="1">
      <c r="A17" s="81">
        <v>45845.0</v>
      </c>
      <c r="B17" s="82" t="s">
        <v>415</v>
      </c>
      <c r="C17" s="83" t="s">
        <v>106</v>
      </c>
      <c r="D17" s="83" t="s">
        <v>274</v>
      </c>
      <c r="E17" s="82">
        <v>7100.0</v>
      </c>
      <c r="G17" s="82">
        <v>8658.81</v>
      </c>
      <c r="H17" s="82">
        <v>8658.810000000005</v>
      </c>
      <c r="I17" s="82">
        <v>0.0</v>
      </c>
    </row>
    <row r="18" ht="12.75" customHeight="1">
      <c r="A18" s="81">
        <v>45846.0</v>
      </c>
      <c r="B18" s="82" t="s">
        <v>416</v>
      </c>
      <c r="C18" s="82" t="s">
        <v>123</v>
      </c>
      <c r="D18" s="82" t="s">
        <v>399</v>
      </c>
      <c r="E18" s="82">
        <v>649.0</v>
      </c>
      <c r="G18" s="82">
        <v>8009.81</v>
      </c>
      <c r="H18" s="82">
        <v>8009.810000000005</v>
      </c>
      <c r="I18" s="82">
        <v>0.0</v>
      </c>
    </row>
    <row r="19" ht="12.75" customHeight="1">
      <c r="A19" s="81">
        <v>45849.0</v>
      </c>
      <c r="B19" s="82" t="s">
        <v>417</v>
      </c>
      <c r="C19" s="82" t="s">
        <v>87</v>
      </c>
      <c r="D19" s="82" t="s">
        <v>195</v>
      </c>
      <c r="E19" s="82">
        <v>555.0</v>
      </c>
      <c r="G19" s="82">
        <v>7454.81</v>
      </c>
      <c r="H19" s="82">
        <v>7454.810000000005</v>
      </c>
      <c r="I19" s="82">
        <v>0.0</v>
      </c>
    </row>
    <row r="20" ht="12.75" customHeight="1">
      <c r="A20" s="81">
        <v>45849.0</v>
      </c>
      <c r="B20" s="82" t="s">
        <v>418</v>
      </c>
      <c r="C20" s="82" t="s">
        <v>98</v>
      </c>
      <c r="D20" s="82" t="s">
        <v>419</v>
      </c>
      <c r="E20" s="82">
        <v>500.0</v>
      </c>
      <c r="G20" s="82">
        <v>6954.81</v>
      </c>
      <c r="H20" s="82">
        <v>6954.810000000005</v>
      </c>
      <c r="I20" s="82">
        <v>0.0</v>
      </c>
    </row>
    <row r="21" ht="12.75" customHeight="1">
      <c r="A21" s="81">
        <v>45852.0</v>
      </c>
      <c r="B21" s="82" t="s">
        <v>420</v>
      </c>
      <c r="C21" s="83" t="s">
        <v>106</v>
      </c>
      <c r="D21" s="83" t="s">
        <v>421</v>
      </c>
      <c r="E21" s="82">
        <v>3815.0</v>
      </c>
      <c r="G21" s="82">
        <v>3139.81</v>
      </c>
      <c r="H21" s="82">
        <v>3139.810000000005</v>
      </c>
      <c r="I21" s="82">
        <v>-5.002220859751105E-12</v>
      </c>
    </row>
    <row r="22" ht="12.75" customHeight="1">
      <c r="A22" s="81">
        <v>45852.0</v>
      </c>
      <c r="B22" s="82" t="s">
        <v>422</v>
      </c>
      <c r="C22" s="82" t="s">
        <v>173</v>
      </c>
      <c r="D22" s="82" t="s">
        <v>109</v>
      </c>
      <c r="F22" s="82">
        <v>16330.68</v>
      </c>
      <c r="G22" s="82">
        <v>19470.49</v>
      </c>
      <c r="H22" s="82">
        <v>19470.490000000005</v>
      </c>
      <c r="I22" s="82">
        <v>0.0</v>
      </c>
    </row>
    <row r="23" ht="12.75" customHeight="1">
      <c r="A23" s="81">
        <v>45852.0</v>
      </c>
      <c r="B23" s="82" t="s">
        <v>423</v>
      </c>
      <c r="C23" s="82" t="s">
        <v>173</v>
      </c>
      <c r="D23" s="82" t="s">
        <v>110</v>
      </c>
      <c r="F23" s="82">
        <v>25410.64</v>
      </c>
      <c r="G23" s="82">
        <v>44881.13</v>
      </c>
      <c r="H23" s="82">
        <v>44881.130000000005</v>
      </c>
      <c r="I23" s="82">
        <v>0.0</v>
      </c>
    </row>
    <row r="24" ht="12.75" customHeight="1">
      <c r="A24" s="81">
        <v>45853.0</v>
      </c>
      <c r="B24" s="82" t="s">
        <v>424</v>
      </c>
      <c r="C24" s="82" t="s">
        <v>102</v>
      </c>
      <c r="D24" s="82" t="s">
        <v>425</v>
      </c>
      <c r="E24" s="82">
        <v>7500.0</v>
      </c>
      <c r="G24" s="82">
        <v>37381.13</v>
      </c>
      <c r="H24" s="82">
        <v>37381.130000000005</v>
      </c>
      <c r="I24" s="82">
        <v>0.0</v>
      </c>
    </row>
    <row r="25" ht="12.75" customHeight="1">
      <c r="A25" s="81">
        <v>45853.0</v>
      </c>
      <c r="B25" s="82" t="s">
        <v>426</v>
      </c>
      <c r="C25" s="83" t="s">
        <v>97</v>
      </c>
      <c r="D25" s="83" t="s">
        <v>427</v>
      </c>
      <c r="E25" s="82">
        <v>1193.93</v>
      </c>
      <c r="G25" s="82">
        <v>36187.2</v>
      </c>
      <c r="H25" s="82">
        <v>36187.200000000004</v>
      </c>
      <c r="I25" s="82">
        <v>0.0</v>
      </c>
    </row>
    <row r="26" ht="12.75" customHeight="1">
      <c r="A26" s="81">
        <v>45853.0</v>
      </c>
      <c r="B26" s="82" t="s">
        <v>428</v>
      </c>
      <c r="C26" s="83" t="s">
        <v>97</v>
      </c>
      <c r="D26" s="83" t="s">
        <v>427</v>
      </c>
      <c r="E26" s="82">
        <v>1193.93</v>
      </c>
      <c r="G26" s="82">
        <v>34993.27</v>
      </c>
      <c r="H26" s="82">
        <v>34993.270000000004</v>
      </c>
      <c r="I26" s="82">
        <v>0.0</v>
      </c>
    </row>
    <row r="27" ht="12.75" customHeight="1">
      <c r="A27" s="81">
        <v>45853.0</v>
      </c>
      <c r="B27" s="82" t="s">
        <v>429</v>
      </c>
      <c r="C27" s="82" t="s">
        <v>88</v>
      </c>
      <c r="D27" s="82" t="s">
        <v>205</v>
      </c>
      <c r="E27" s="82">
        <v>1712.72</v>
      </c>
      <c r="G27" s="82">
        <v>33280.55</v>
      </c>
      <c r="H27" s="82">
        <v>33280.55</v>
      </c>
      <c r="I27" s="82">
        <v>0.0</v>
      </c>
    </row>
    <row r="28" ht="12.75" customHeight="1">
      <c r="A28" s="81">
        <v>45853.0</v>
      </c>
      <c r="B28" s="82" t="s">
        <v>430</v>
      </c>
      <c r="C28" s="82" t="s">
        <v>88</v>
      </c>
      <c r="D28" s="82" t="s">
        <v>205</v>
      </c>
      <c r="E28" s="82">
        <v>1650.82</v>
      </c>
      <c r="G28" s="82">
        <v>31629.73</v>
      </c>
      <c r="H28" s="82">
        <v>31629.730000000003</v>
      </c>
      <c r="I28" s="82">
        <v>0.0</v>
      </c>
    </row>
    <row r="29" ht="12.75" customHeight="1">
      <c r="A29" s="81">
        <v>45853.0</v>
      </c>
      <c r="B29" s="82" t="s">
        <v>431</v>
      </c>
      <c r="C29" s="82" t="s">
        <v>87</v>
      </c>
      <c r="D29" s="82" t="s">
        <v>155</v>
      </c>
      <c r="E29" s="82">
        <v>2970.0</v>
      </c>
      <c r="G29" s="82">
        <v>28659.73</v>
      </c>
      <c r="H29" s="82">
        <v>28659.730000000003</v>
      </c>
      <c r="I29" s="82">
        <v>0.0</v>
      </c>
    </row>
    <row r="30" ht="12.75" customHeight="1">
      <c r="A30" s="81">
        <v>45853.0</v>
      </c>
      <c r="B30" s="82" t="s">
        <v>432</v>
      </c>
      <c r="C30" s="82" t="s">
        <v>86</v>
      </c>
      <c r="D30" s="82" t="s">
        <v>433</v>
      </c>
      <c r="E30" s="82">
        <v>27593.0</v>
      </c>
      <c r="G30" s="82">
        <v>1066.73</v>
      </c>
      <c r="H30" s="82">
        <v>1066.7300000000032</v>
      </c>
      <c r="I30" s="82">
        <v>-3.183231456205249E-12</v>
      </c>
    </row>
    <row r="31" ht="12.75" customHeight="1">
      <c r="A31" s="81">
        <v>45853.0</v>
      </c>
      <c r="B31" s="82" t="s">
        <v>434</v>
      </c>
      <c r="C31" s="82" t="s">
        <v>173</v>
      </c>
      <c r="D31" s="82" t="s">
        <v>435</v>
      </c>
      <c r="F31" s="82">
        <v>70800.0</v>
      </c>
      <c r="G31" s="82">
        <v>71866.73</v>
      </c>
      <c r="H31" s="82">
        <v>71866.73000000001</v>
      </c>
      <c r="I31" s="82">
        <v>0.0</v>
      </c>
    </row>
    <row r="32" ht="12.75" customHeight="1">
      <c r="A32" s="81">
        <v>45855.0</v>
      </c>
      <c r="B32" s="82" t="s">
        <v>436</v>
      </c>
      <c r="C32" s="82" t="s">
        <v>100</v>
      </c>
      <c r="D32" s="82" t="s">
        <v>149</v>
      </c>
      <c r="E32" s="82">
        <v>300.9</v>
      </c>
      <c r="G32" s="82">
        <v>71565.83</v>
      </c>
      <c r="H32" s="82">
        <v>71565.83000000002</v>
      </c>
      <c r="I32" s="82">
        <v>0.0</v>
      </c>
    </row>
    <row r="33" ht="12.75" customHeight="1">
      <c r="A33" s="81">
        <v>45856.0</v>
      </c>
      <c r="B33" s="82" t="s">
        <v>437</v>
      </c>
      <c r="C33" s="82" t="s">
        <v>88</v>
      </c>
      <c r="D33" s="82" t="s">
        <v>230</v>
      </c>
      <c r="E33" s="82">
        <v>5313.54</v>
      </c>
      <c r="G33" s="82">
        <v>66252.29</v>
      </c>
      <c r="H33" s="82">
        <v>66252.29000000002</v>
      </c>
      <c r="I33" s="82">
        <v>0.0</v>
      </c>
    </row>
    <row r="34" ht="12.75" customHeight="1">
      <c r="A34" s="81">
        <v>45856.0</v>
      </c>
      <c r="B34" s="82" t="s">
        <v>438</v>
      </c>
      <c r="C34" s="82" t="s">
        <v>100</v>
      </c>
      <c r="D34" s="82" t="s">
        <v>149</v>
      </c>
      <c r="E34" s="82">
        <v>236.0</v>
      </c>
      <c r="G34" s="82">
        <v>66016.29</v>
      </c>
      <c r="H34" s="82">
        <v>66016.29000000002</v>
      </c>
      <c r="I34" s="82">
        <v>0.0</v>
      </c>
    </row>
    <row r="35" ht="12.75" customHeight="1">
      <c r="A35" s="81">
        <v>45856.0</v>
      </c>
      <c r="B35" s="82" t="s">
        <v>439</v>
      </c>
      <c r="C35" s="82" t="s">
        <v>146</v>
      </c>
      <c r="D35" s="82" t="s">
        <v>147</v>
      </c>
      <c r="F35" s="82">
        <v>128313.51</v>
      </c>
      <c r="G35" s="82">
        <v>194329.8</v>
      </c>
      <c r="H35" s="82">
        <v>194329.80000000002</v>
      </c>
      <c r="I35" s="82">
        <v>0.0</v>
      </c>
    </row>
    <row r="36" ht="12.75" customHeight="1">
      <c r="A36" s="81">
        <v>45856.0</v>
      </c>
      <c r="B36" s="82" t="s">
        <v>440</v>
      </c>
      <c r="C36" s="83" t="s">
        <v>92</v>
      </c>
      <c r="D36" s="83" t="s">
        <v>236</v>
      </c>
      <c r="E36" s="82">
        <v>3308.0</v>
      </c>
      <c r="G36" s="82">
        <v>191021.8</v>
      </c>
      <c r="H36" s="82">
        <v>191021.80000000002</v>
      </c>
      <c r="I36" s="82">
        <v>0.0</v>
      </c>
    </row>
    <row r="37" ht="12.75" customHeight="1">
      <c r="A37" s="81">
        <v>45856.0</v>
      </c>
      <c r="B37" s="82" t="s">
        <v>441</v>
      </c>
      <c r="C37" s="82" t="s">
        <v>96</v>
      </c>
      <c r="D37" s="82" t="s">
        <v>175</v>
      </c>
      <c r="E37" s="82">
        <v>115224.0</v>
      </c>
      <c r="G37" s="82">
        <v>75797.8</v>
      </c>
      <c r="H37" s="82">
        <v>75797.80000000002</v>
      </c>
      <c r="I37" s="82">
        <v>0.0</v>
      </c>
    </row>
    <row r="38" ht="12.75" customHeight="1">
      <c r="A38" s="81">
        <v>45856.0</v>
      </c>
      <c r="B38" s="82" t="s">
        <v>442</v>
      </c>
      <c r="C38" s="82" t="s">
        <v>98</v>
      </c>
      <c r="D38" s="82" t="s">
        <v>179</v>
      </c>
      <c r="E38" s="82">
        <v>4857.0</v>
      </c>
      <c r="G38" s="82">
        <v>70940.8</v>
      </c>
      <c r="H38" s="82">
        <v>70940.80000000002</v>
      </c>
      <c r="I38" s="82">
        <v>0.0</v>
      </c>
    </row>
    <row r="39" ht="12.75" customHeight="1">
      <c r="A39" s="81">
        <v>45856.0</v>
      </c>
      <c r="B39" s="82" t="s">
        <v>443</v>
      </c>
      <c r="C39" s="82" t="s">
        <v>98</v>
      </c>
      <c r="D39" s="82" t="s">
        <v>181</v>
      </c>
      <c r="E39" s="82">
        <v>7942.0</v>
      </c>
      <c r="G39" s="82">
        <v>62998.8</v>
      </c>
      <c r="H39" s="82">
        <v>62998.80000000002</v>
      </c>
      <c r="I39" s="82">
        <v>0.0</v>
      </c>
    </row>
    <row r="40" ht="12.75" customHeight="1">
      <c r="A40" s="81">
        <v>45856.0</v>
      </c>
      <c r="B40" s="82" t="s">
        <v>444</v>
      </c>
      <c r="C40" s="82" t="s">
        <v>98</v>
      </c>
      <c r="D40" s="82" t="s">
        <v>419</v>
      </c>
      <c r="E40" s="82">
        <v>4826.0</v>
      </c>
      <c r="G40" s="82">
        <v>58172.8</v>
      </c>
      <c r="H40" s="82">
        <v>58172.80000000002</v>
      </c>
      <c r="I40" s="82">
        <v>0.0</v>
      </c>
    </row>
    <row r="41" ht="12.75" customHeight="1">
      <c r="A41" s="81">
        <v>45856.0</v>
      </c>
      <c r="B41" s="82" t="s">
        <v>445</v>
      </c>
      <c r="C41" s="82" t="s">
        <v>98</v>
      </c>
      <c r="D41" s="82" t="s">
        <v>333</v>
      </c>
      <c r="E41" s="82">
        <v>8696.0</v>
      </c>
      <c r="G41" s="82">
        <v>49476.8</v>
      </c>
      <c r="H41" s="82">
        <v>49476.80000000002</v>
      </c>
      <c r="I41" s="82">
        <v>0.0</v>
      </c>
    </row>
    <row r="42" ht="12.75" customHeight="1">
      <c r="A42" s="81">
        <v>45856.0</v>
      </c>
      <c r="B42" s="82" t="s">
        <v>446</v>
      </c>
      <c r="C42" s="82" t="s">
        <v>98</v>
      </c>
      <c r="D42" s="82" t="s">
        <v>183</v>
      </c>
      <c r="E42" s="82">
        <v>5783.0</v>
      </c>
      <c r="G42" s="82">
        <v>43693.8</v>
      </c>
      <c r="H42" s="82">
        <v>43693.80000000002</v>
      </c>
      <c r="I42" s="82">
        <v>0.0</v>
      </c>
    </row>
    <row r="43" ht="12.75" customHeight="1">
      <c r="A43" s="81">
        <v>45856.0</v>
      </c>
      <c r="B43" s="82" t="s">
        <v>447</v>
      </c>
      <c r="C43" s="82" t="s">
        <v>98</v>
      </c>
      <c r="D43" s="82" t="s">
        <v>448</v>
      </c>
      <c r="E43" s="82">
        <v>4239.0</v>
      </c>
      <c r="G43" s="82">
        <v>39454.8</v>
      </c>
      <c r="H43" s="82">
        <v>39454.80000000002</v>
      </c>
      <c r="I43" s="82">
        <v>0.0</v>
      </c>
    </row>
    <row r="44" ht="12.75" customHeight="1">
      <c r="A44" s="81">
        <v>45856.0</v>
      </c>
      <c r="B44" s="82" t="s">
        <v>449</v>
      </c>
      <c r="C44" s="82" t="s">
        <v>98</v>
      </c>
      <c r="D44" s="82" t="s">
        <v>226</v>
      </c>
      <c r="E44" s="82">
        <v>4200.0</v>
      </c>
      <c r="G44" s="82">
        <v>35254.8</v>
      </c>
      <c r="H44" s="82">
        <v>35254.80000000002</v>
      </c>
      <c r="I44" s="82">
        <v>0.0</v>
      </c>
    </row>
    <row r="45" ht="12.75" customHeight="1">
      <c r="A45" s="81">
        <v>45856.0</v>
      </c>
      <c r="B45" s="82" t="s">
        <v>450</v>
      </c>
      <c r="C45" s="82" t="s">
        <v>98</v>
      </c>
      <c r="D45" s="82" t="s">
        <v>190</v>
      </c>
      <c r="E45" s="82">
        <v>8327.0</v>
      </c>
      <c r="G45" s="82">
        <v>26927.8</v>
      </c>
      <c r="H45" s="82">
        <v>26927.800000000017</v>
      </c>
      <c r="I45" s="82">
        <v>0.0</v>
      </c>
    </row>
    <row r="46" ht="12.75" customHeight="1">
      <c r="A46" s="81">
        <v>45856.0</v>
      </c>
      <c r="B46" s="82" t="s">
        <v>451</v>
      </c>
      <c r="C46" s="82" t="s">
        <v>98</v>
      </c>
      <c r="D46" s="82" t="s">
        <v>192</v>
      </c>
      <c r="E46" s="82">
        <v>5867.0</v>
      </c>
      <c r="G46" s="82">
        <v>21060.8</v>
      </c>
      <c r="H46" s="82">
        <v>21060.800000000017</v>
      </c>
      <c r="I46" s="82">
        <v>0.0</v>
      </c>
    </row>
    <row r="47" ht="12.75" customHeight="1">
      <c r="A47" s="81">
        <v>45856.0</v>
      </c>
      <c r="B47" s="82" t="s">
        <v>452</v>
      </c>
      <c r="C47" s="82" t="s">
        <v>98</v>
      </c>
      <c r="D47" s="82" t="s">
        <v>453</v>
      </c>
      <c r="E47" s="82">
        <v>4000.0</v>
      </c>
      <c r="G47" s="82">
        <v>17060.8</v>
      </c>
      <c r="H47" s="82">
        <v>17060.800000000017</v>
      </c>
      <c r="I47" s="82">
        <v>0.0</v>
      </c>
    </row>
    <row r="48" ht="12.75" customHeight="1">
      <c r="A48" s="81">
        <v>45856.0</v>
      </c>
      <c r="B48" s="82" t="s">
        <v>454</v>
      </c>
      <c r="C48" s="82" t="s">
        <v>98</v>
      </c>
      <c r="D48" s="82" t="s">
        <v>455</v>
      </c>
      <c r="E48" s="82">
        <v>6087.0</v>
      </c>
      <c r="G48" s="82">
        <v>10973.8</v>
      </c>
      <c r="H48" s="82">
        <v>10973.800000000017</v>
      </c>
      <c r="I48" s="82">
        <v>-1.8189894035458565E-11</v>
      </c>
    </row>
    <row r="49" ht="12.75" customHeight="1">
      <c r="A49" s="81">
        <v>45856.0</v>
      </c>
      <c r="B49" s="82" t="s">
        <v>456</v>
      </c>
      <c r="C49" s="82" t="s">
        <v>98</v>
      </c>
      <c r="D49" s="82" t="s">
        <v>338</v>
      </c>
      <c r="E49" s="82">
        <v>6543.0</v>
      </c>
      <c r="G49" s="82">
        <v>4430.8</v>
      </c>
      <c r="H49" s="82">
        <v>4430.8000000000175</v>
      </c>
      <c r="I49" s="82">
        <v>-1.7280399333685637E-11</v>
      </c>
    </row>
    <row r="50" ht="12.75" customHeight="1">
      <c r="A50" s="81">
        <v>45857.0</v>
      </c>
      <c r="B50" s="82" t="s">
        <v>457</v>
      </c>
      <c r="C50" s="82" t="s">
        <v>98</v>
      </c>
      <c r="D50" s="82" t="s">
        <v>458</v>
      </c>
      <c r="E50" s="82">
        <v>2800.0</v>
      </c>
      <c r="G50" s="82">
        <v>1630.8</v>
      </c>
      <c r="H50" s="82">
        <v>1630.8000000000175</v>
      </c>
      <c r="I50" s="82">
        <v>-1.750777300912887E-11</v>
      </c>
    </row>
    <row r="51" ht="12.75" customHeight="1">
      <c r="A51" s="81">
        <v>45859.0</v>
      </c>
      <c r="B51" s="82" t="s">
        <v>459</v>
      </c>
      <c r="C51" s="82" t="s">
        <v>100</v>
      </c>
      <c r="D51" s="82" t="s">
        <v>149</v>
      </c>
      <c r="E51" s="82">
        <v>180.9</v>
      </c>
      <c r="G51" s="82">
        <v>1449.9</v>
      </c>
      <c r="H51" s="82">
        <v>1449.9000000000174</v>
      </c>
      <c r="I51" s="82">
        <v>-1.7280399333685637E-11</v>
      </c>
    </row>
    <row r="52" ht="12.75" customHeight="1">
      <c r="A52" s="81">
        <v>45859.0</v>
      </c>
      <c r="B52" s="82" t="s">
        <v>460</v>
      </c>
      <c r="C52" s="82" t="s">
        <v>123</v>
      </c>
      <c r="D52" s="82" t="s">
        <v>399</v>
      </c>
      <c r="F52" s="82">
        <v>300.0</v>
      </c>
      <c r="G52" s="82">
        <v>1749.9</v>
      </c>
      <c r="H52" s="82">
        <v>1749.9000000000174</v>
      </c>
      <c r="I52" s="82">
        <v>-1.7280399333685637E-11</v>
      </c>
    </row>
    <row r="53" ht="12.75" customHeight="1">
      <c r="A53" s="81">
        <v>45859.0</v>
      </c>
      <c r="B53" s="82" t="s">
        <v>461</v>
      </c>
      <c r="C53" s="83" t="s">
        <v>97</v>
      </c>
      <c r="D53" s="83" t="s">
        <v>427</v>
      </c>
      <c r="E53" s="82">
        <v>1699.0</v>
      </c>
      <c r="G53" s="82">
        <v>50.9</v>
      </c>
      <c r="H53" s="82">
        <v>50.90000000001737</v>
      </c>
      <c r="I53" s="82">
        <v>-1.737276988933445E-11</v>
      </c>
    </row>
    <row r="54" ht="12.75" customHeight="1">
      <c r="A54" s="81">
        <v>45863.0</v>
      </c>
      <c r="B54" s="82" t="s">
        <v>462</v>
      </c>
      <c r="C54" s="82" t="s">
        <v>173</v>
      </c>
      <c r="D54" s="82" t="s">
        <v>110</v>
      </c>
      <c r="F54" s="82">
        <v>79688.66</v>
      </c>
      <c r="G54" s="82">
        <v>79739.56</v>
      </c>
      <c r="H54" s="82">
        <v>79739.56000000003</v>
      </c>
      <c r="I54" s="82">
        <v>0.0</v>
      </c>
    </row>
    <row r="55" ht="12.75" customHeight="1">
      <c r="A55" s="81">
        <v>45863.0</v>
      </c>
      <c r="B55" s="82" t="s">
        <v>463</v>
      </c>
      <c r="C55" s="82" t="s">
        <v>98</v>
      </c>
      <c r="D55" s="82" t="s">
        <v>188</v>
      </c>
      <c r="E55" s="82">
        <v>2283.0</v>
      </c>
      <c r="G55" s="82">
        <v>77456.56</v>
      </c>
      <c r="H55" s="82">
        <v>77456.56000000003</v>
      </c>
      <c r="I55" s="82">
        <v>0.0</v>
      </c>
    </row>
    <row r="56" ht="12.75" customHeight="1">
      <c r="A56" s="81">
        <v>45863.0</v>
      </c>
      <c r="B56" s="82" t="s">
        <v>464</v>
      </c>
      <c r="C56" s="82" t="s">
        <v>98</v>
      </c>
      <c r="D56" s="82" t="s">
        <v>465</v>
      </c>
      <c r="E56" s="82">
        <v>4261.0</v>
      </c>
      <c r="G56" s="82">
        <v>73195.56</v>
      </c>
      <c r="H56" s="82">
        <v>73195.56000000003</v>
      </c>
      <c r="I56" s="82">
        <v>0.0</v>
      </c>
    </row>
    <row r="57" ht="12.75" customHeight="1">
      <c r="A57" s="81">
        <v>45864.0</v>
      </c>
      <c r="B57" s="82" t="s">
        <v>466</v>
      </c>
      <c r="C57" s="82" t="s">
        <v>108</v>
      </c>
      <c r="D57" s="82" t="s">
        <v>467</v>
      </c>
      <c r="E57" s="82">
        <v>1500.0</v>
      </c>
      <c r="G57" s="82">
        <v>71695.56</v>
      </c>
      <c r="H57" s="82">
        <v>71695.56000000003</v>
      </c>
      <c r="I57" s="82">
        <v>0.0</v>
      </c>
    </row>
    <row r="58" ht="12.75" customHeight="1">
      <c r="A58" s="81">
        <v>45864.0</v>
      </c>
      <c r="B58" s="82" t="s">
        <v>468</v>
      </c>
      <c r="C58" s="82" t="s">
        <v>108</v>
      </c>
      <c r="D58" s="82" t="s">
        <v>469</v>
      </c>
      <c r="E58" s="82">
        <v>665.0</v>
      </c>
      <c r="G58" s="82">
        <v>71030.56</v>
      </c>
      <c r="H58" s="82">
        <v>71030.56000000003</v>
      </c>
      <c r="I58" s="82">
        <v>0.0</v>
      </c>
    </row>
    <row r="59" ht="12.75" customHeight="1">
      <c r="A59" s="81">
        <v>45864.0</v>
      </c>
      <c r="B59" s="82" t="s">
        <v>470</v>
      </c>
      <c r="C59" s="82" t="s">
        <v>87</v>
      </c>
      <c r="D59" s="82" t="s">
        <v>155</v>
      </c>
      <c r="E59" s="82">
        <v>70.0</v>
      </c>
      <c r="G59" s="82">
        <v>70960.56</v>
      </c>
      <c r="H59" s="82">
        <v>70960.56000000003</v>
      </c>
      <c r="I59" s="82">
        <v>0.0</v>
      </c>
    </row>
    <row r="60" ht="12.75" customHeight="1">
      <c r="A60" s="81">
        <v>45864.0</v>
      </c>
      <c r="B60" s="82" t="s">
        <v>471</v>
      </c>
      <c r="C60" s="82" t="s">
        <v>87</v>
      </c>
      <c r="D60" s="82" t="s">
        <v>195</v>
      </c>
      <c r="E60" s="82">
        <v>110.0</v>
      </c>
      <c r="G60" s="82">
        <v>70850.56</v>
      </c>
      <c r="H60" s="82">
        <v>70850.56000000003</v>
      </c>
      <c r="I60" s="82">
        <v>0.0</v>
      </c>
    </row>
    <row r="61" ht="12.75" customHeight="1">
      <c r="A61" s="81">
        <v>45864.0</v>
      </c>
      <c r="B61" s="82" t="s">
        <v>472</v>
      </c>
      <c r="C61" s="82" t="s">
        <v>87</v>
      </c>
      <c r="D61" s="82" t="s">
        <v>195</v>
      </c>
      <c r="E61" s="82">
        <v>761.0</v>
      </c>
      <c r="G61" s="82">
        <v>70089.56</v>
      </c>
      <c r="H61" s="82">
        <v>70089.56000000003</v>
      </c>
      <c r="I61" s="82">
        <v>0.0</v>
      </c>
    </row>
    <row r="62" ht="12.75" customHeight="1">
      <c r="A62" s="81">
        <v>45865.0</v>
      </c>
      <c r="B62" s="82" t="s">
        <v>473</v>
      </c>
      <c r="C62" s="82" t="s">
        <v>123</v>
      </c>
      <c r="D62" s="82" t="s">
        <v>399</v>
      </c>
      <c r="E62" s="82">
        <v>1575.0</v>
      </c>
      <c r="G62" s="82">
        <v>68514.56</v>
      </c>
      <c r="H62" s="82">
        <v>68514.56000000003</v>
      </c>
      <c r="I62" s="82">
        <v>0.0</v>
      </c>
    </row>
    <row r="63" ht="12.75" customHeight="1">
      <c r="A63" s="81">
        <v>45865.0</v>
      </c>
      <c r="B63" s="82" t="s">
        <v>474</v>
      </c>
      <c r="C63" s="82" t="s">
        <v>123</v>
      </c>
      <c r="D63" s="82" t="s">
        <v>399</v>
      </c>
      <c r="E63" s="82">
        <v>1000.0</v>
      </c>
      <c r="G63" s="82">
        <v>67514.56</v>
      </c>
      <c r="H63" s="82">
        <v>67514.56000000003</v>
      </c>
      <c r="I63" s="82">
        <v>0.0</v>
      </c>
    </row>
    <row r="64" ht="12.75" customHeight="1">
      <c r="A64" s="81">
        <v>45865.0</v>
      </c>
      <c r="B64" s="82" t="s">
        <v>475</v>
      </c>
      <c r="C64" s="82" t="s">
        <v>123</v>
      </c>
      <c r="D64" s="82" t="s">
        <v>399</v>
      </c>
      <c r="E64" s="82">
        <v>2500.0</v>
      </c>
      <c r="G64" s="82">
        <v>65014.56</v>
      </c>
      <c r="H64" s="82">
        <v>65014.56000000003</v>
      </c>
      <c r="I64" s="82">
        <v>0.0</v>
      </c>
    </row>
    <row r="65" ht="12.75" customHeight="1">
      <c r="A65" s="81">
        <v>45866.0</v>
      </c>
      <c r="B65" s="82" t="s">
        <v>476</v>
      </c>
      <c r="C65" s="82" t="s">
        <v>100</v>
      </c>
      <c r="D65" s="82" t="s">
        <v>149</v>
      </c>
      <c r="E65" s="82">
        <v>300.9</v>
      </c>
      <c r="G65" s="82">
        <v>64713.66</v>
      </c>
      <c r="H65" s="82">
        <v>64713.660000000025</v>
      </c>
      <c r="I65" s="82">
        <v>0.0</v>
      </c>
    </row>
    <row r="66" ht="12.75" customHeight="1">
      <c r="A66" s="81">
        <v>45866.0</v>
      </c>
      <c r="B66" s="82" t="s">
        <v>477</v>
      </c>
      <c r="C66" s="82" t="s">
        <v>87</v>
      </c>
      <c r="D66" s="82" t="s">
        <v>195</v>
      </c>
      <c r="E66" s="82">
        <v>1500.0</v>
      </c>
      <c r="G66" s="82">
        <v>63213.66</v>
      </c>
      <c r="H66" s="82">
        <v>63213.660000000025</v>
      </c>
      <c r="I66" s="82">
        <v>0.0</v>
      </c>
    </row>
    <row r="67" ht="12.75" customHeight="1">
      <c r="A67" s="81">
        <v>45866.0</v>
      </c>
      <c r="B67" s="82" t="s">
        <v>478</v>
      </c>
      <c r="C67" s="82" t="s">
        <v>114</v>
      </c>
      <c r="D67" s="82" t="s">
        <v>375</v>
      </c>
      <c r="E67" s="82">
        <v>2000.0</v>
      </c>
      <c r="G67" s="82">
        <v>61213.66</v>
      </c>
      <c r="H67" s="82">
        <v>61213.660000000025</v>
      </c>
      <c r="I67" s="82">
        <v>0.0</v>
      </c>
    </row>
    <row r="68" ht="12.75" customHeight="1">
      <c r="A68" s="81">
        <v>45866.0</v>
      </c>
      <c r="B68" s="82" t="s">
        <v>479</v>
      </c>
      <c r="C68" s="83" t="s">
        <v>92</v>
      </c>
      <c r="D68" s="83" t="s">
        <v>480</v>
      </c>
      <c r="E68" s="82">
        <v>2700.0</v>
      </c>
      <c r="G68" s="82">
        <v>58513.66</v>
      </c>
      <c r="H68" s="82">
        <v>58513.660000000025</v>
      </c>
      <c r="I68" s="82">
        <v>0.0</v>
      </c>
    </row>
    <row r="69" ht="12.75" customHeight="1">
      <c r="A69" s="81">
        <v>45867.0</v>
      </c>
      <c r="B69" s="82" t="s">
        <v>481</v>
      </c>
      <c r="C69" s="82" t="s">
        <v>87</v>
      </c>
      <c r="D69" s="82" t="s">
        <v>155</v>
      </c>
      <c r="E69" s="82">
        <v>2800.0</v>
      </c>
      <c r="G69" s="82">
        <v>55713.66</v>
      </c>
      <c r="H69" s="82">
        <v>55713.660000000025</v>
      </c>
      <c r="I69" s="82">
        <v>0.0</v>
      </c>
    </row>
    <row r="70" ht="12.75" customHeight="1">
      <c r="A70" s="81">
        <v>45867.0</v>
      </c>
      <c r="B70" s="82" t="s">
        <v>482</v>
      </c>
      <c r="C70" s="82" t="s">
        <v>123</v>
      </c>
      <c r="D70" s="82" t="s">
        <v>399</v>
      </c>
      <c r="E70" s="82">
        <v>2831.5</v>
      </c>
      <c r="G70" s="82">
        <v>52882.16</v>
      </c>
      <c r="H70" s="82">
        <v>52882.160000000025</v>
      </c>
      <c r="I70" s="82">
        <v>0.0</v>
      </c>
    </row>
    <row r="71" ht="12.75" customHeight="1">
      <c r="A71" s="81">
        <v>45867.0</v>
      </c>
      <c r="B71" s="82" t="s">
        <v>483</v>
      </c>
      <c r="C71" s="82" t="s">
        <v>7</v>
      </c>
      <c r="D71" s="82" t="s">
        <v>484</v>
      </c>
      <c r="E71" s="82">
        <v>400.0</v>
      </c>
      <c r="G71" s="82">
        <v>52482.16</v>
      </c>
      <c r="H71" s="82">
        <v>52482.160000000025</v>
      </c>
      <c r="I71" s="82">
        <v>0.0</v>
      </c>
    </row>
    <row r="72" ht="12.75" customHeight="1">
      <c r="A72" s="81">
        <v>45868.0</v>
      </c>
      <c r="B72" s="82" t="s">
        <v>485</v>
      </c>
      <c r="C72" s="82" t="s">
        <v>405</v>
      </c>
      <c r="D72" s="82" t="s">
        <v>486</v>
      </c>
      <c r="E72" s="82">
        <v>4000.0</v>
      </c>
      <c r="G72" s="82">
        <v>48482.16</v>
      </c>
      <c r="H72" s="82">
        <v>48482.160000000025</v>
      </c>
      <c r="I72" s="82">
        <v>0.0</v>
      </c>
    </row>
    <row r="73" ht="12.75" customHeight="1">
      <c r="A73" s="81">
        <v>45868.0</v>
      </c>
      <c r="B73" s="82" t="s">
        <v>487</v>
      </c>
      <c r="C73" s="82" t="s">
        <v>98</v>
      </c>
      <c r="D73" s="82" t="s">
        <v>331</v>
      </c>
      <c r="E73" s="82">
        <v>7000.0</v>
      </c>
      <c r="G73" s="82">
        <v>41482.16</v>
      </c>
      <c r="H73" s="82">
        <v>41482.160000000025</v>
      </c>
      <c r="I73" s="82">
        <v>0.0</v>
      </c>
    </row>
    <row r="74" ht="12.75" customHeight="1">
      <c r="A74" s="81">
        <v>45868.0</v>
      </c>
      <c r="B74" s="82" t="s">
        <v>488</v>
      </c>
      <c r="C74" s="83" t="s">
        <v>89</v>
      </c>
      <c r="D74" s="83" t="s">
        <v>234</v>
      </c>
      <c r="E74" s="82">
        <v>15000.0</v>
      </c>
      <c r="G74" s="82">
        <v>26482.16</v>
      </c>
      <c r="H74" s="82">
        <v>26482.160000000025</v>
      </c>
      <c r="I74" s="82">
        <v>0.0</v>
      </c>
    </row>
    <row r="75" ht="12.75" customHeight="1">
      <c r="A75" s="81">
        <v>45868.0</v>
      </c>
      <c r="B75" s="82" t="s">
        <v>489</v>
      </c>
      <c r="C75" s="82" t="s">
        <v>90</v>
      </c>
      <c r="D75" s="82" t="s">
        <v>490</v>
      </c>
      <c r="E75" s="82">
        <v>2100.0</v>
      </c>
      <c r="G75" s="82">
        <v>24382.16</v>
      </c>
      <c r="H75" s="82">
        <v>24382.160000000025</v>
      </c>
      <c r="I75" s="82">
        <v>0.0</v>
      </c>
    </row>
    <row r="76" ht="12.75" customHeight="1">
      <c r="A76" s="84">
        <v>45868.0</v>
      </c>
      <c r="B76" s="85" t="s">
        <v>491</v>
      </c>
      <c r="C76" s="82" t="s">
        <v>98</v>
      </c>
      <c r="D76" s="82" t="s">
        <v>492</v>
      </c>
      <c r="E76" s="85">
        <v>500.0</v>
      </c>
      <c r="G76" s="82">
        <v>23882.160000000025</v>
      </c>
      <c r="H76" s="82">
        <v>23882.160000000025</v>
      </c>
      <c r="I76" s="82">
        <v>0.0</v>
      </c>
    </row>
    <row r="77" ht="12.75" customHeight="1">
      <c r="A77" s="84">
        <v>45869.0</v>
      </c>
      <c r="B77" s="85" t="s">
        <v>493</v>
      </c>
      <c r="C77" s="82" t="s">
        <v>108</v>
      </c>
      <c r="D77" s="82" t="s">
        <v>494</v>
      </c>
      <c r="E77" s="85">
        <v>2000.0</v>
      </c>
      <c r="G77" s="82">
        <v>21882.160000000025</v>
      </c>
      <c r="H77" s="82">
        <v>21882.160000000025</v>
      </c>
      <c r="I77" s="82">
        <v>0.0</v>
      </c>
    </row>
    <row r="78" ht="12.75" customHeight="1">
      <c r="A78" s="84">
        <v>45869.0</v>
      </c>
      <c r="B78" s="85" t="s">
        <v>495</v>
      </c>
      <c r="C78" s="82" t="s">
        <v>97</v>
      </c>
      <c r="D78" s="82" t="s">
        <v>427</v>
      </c>
      <c r="E78" s="85">
        <v>896.44</v>
      </c>
      <c r="G78" s="82">
        <v>20985.720000000027</v>
      </c>
      <c r="H78" s="82">
        <v>20985.720000000027</v>
      </c>
      <c r="I78" s="82">
        <v>0.0</v>
      </c>
    </row>
    <row r="79" ht="12.75" customHeight="1"/>
    <row r="80" ht="12.75" customHeight="1">
      <c r="E80" s="97">
        <f t="shared" ref="E80:F80" si="1">SUM(E2:E79)</f>
        <v>475634.58</v>
      </c>
      <c r="F80" s="97">
        <f t="shared" si="1"/>
        <v>464905.49</v>
      </c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23.63"/>
    <col customWidth="1" min="3" max="3" width="19.75"/>
    <col customWidth="1" min="4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21.13"/>
    <col customWidth="1" min="3" max="3" width="63.63"/>
    <col customWidth="1" min="4" max="4" width="70.63"/>
    <col customWidth="1" min="5" max="5" width="16.25"/>
    <col customWidth="1" min="6" max="6" width="12.38"/>
    <col customWidth="1" min="7" max="8" width="15.88"/>
    <col customWidth="1" min="9" max="9" width="13.13"/>
    <col customWidth="1" min="10" max="26" width="8.63"/>
  </cols>
  <sheetData>
    <row r="1" ht="12.75" customHeight="1">
      <c r="A1" s="80" t="s">
        <v>78</v>
      </c>
      <c r="B1" s="80" t="s">
        <v>138</v>
      </c>
      <c r="C1" s="80" t="s">
        <v>139</v>
      </c>
      <c r="D1" s="80" t="s">
        <v>140</v>
      </c>
      <c r="E1" s="80" t="s">
        <v>141</v>
      </c>
      <c r="F1" s="80" t="s">
        <v>142</v>
      </c>
      <c r="G1" s="80" t="s">
        <v>143</v>
      </c>
      <c r="H1" s="80" t="s">
        <v>143</v>
      </c>
      <c r="I1" s="80" t="s">
        <v>144</v>
      </c>
    </row>
    <row r="2" ht="12.75" customHeight="1">
      <c r="A2" s="84">
        <v>45870.0</v>
      </c>
      <c r="B2" s="85" t="s">
        <v>496</v>
      </c>
      <c r="C2" s="82" t="s">
        <v>118</v>
      </c>
      <c r="E2" s="85">
        <v>572.0</v>
      </c>
      <c r="G2" s="85">
        <v>20413.72</v>
      </c>
      <c r="H2" s="82">
        <v>20413.720000000027</v>
      </c>
      <c r="I2" s="82">
        <v>0.0</v>
      </c>
    </row>
    <row r="3" ht="12.75" customHeight="1">
      <c r="A3" s="84">
        <v>45870.0</v>
      </c>
      <c r="B3" s="85" t="s">
        <v>497</v>
      </c>
      <c r="C3" s="82" t="s">
        <v>118</v>
      </c>
      <c r="E3" s="85">
        <v>500.0</v>
      </c>
      <c r="G3" s="85">
        <v>19913.72</v>
      </c>
      <c r="H3" s="82">
        <v>19913.720000000027</v>
      </c>
      <c r="I3" s="82">
        <v>0.0</v>
      </c>
    </row>
    <row r="4" ht="12.75" customHeight="1">
      <c r="A4" s="84">
        <v>45870.0</v>
      </c>
      <c r="B4" s="85" t="s">
        <v>498</v>
      </c>
      <c r="C4" s="82" t="s">
        <v>100</v>
      </c>
      <c r="D4" s="82" t="s">
        <v>149</v>
      </c>
      <c r="E4" s="85">
        <v>300.9</v>
      </c>
      <c r="G4" s="85">
        <v>19612.82</v>
      </c>
      <c r="H4" s="82">
        <v>19612.820000000025</v>
      </c>
      <c r="I4" s="82">
        <v>0.0</v>
      </c>
    </row>
    <row r="5" ht="12.75" customHeight="1">
      <c r="A5" s="84">
        <v>45870.0</v>
      </c>
      <c r="B5" s="85" t="s">
        <v>499</v>
      </c>
      <c r="C5" s="82" t="s">
        <v>118</v>
      </c>
      <c r="E5" s="85">
        <v>50.0</v>
      </c>
      <c r="G5" s="85">
        <v>19562.82</v>
      </c>
      <c r="H5" s="82">
        <v>19562.820000000025</v>
      </c>
      <c r="I5" s="82">
        <v>0.0</v>
      </c>
    </row>
    <row r="6" ht="12.75" customHeight="1">
      <c r="A6" s="84">
        <v>45870.0</v>
      </c>
      <c r="B6" s="85" t="s">
        <v>500</v>
      </c>
      <c r="C6" s="82" t="s">
        <v>146</v>
      </c>
      <c r="D6" s="85" t="s">
        <v>147</v>
      </c>
      <c r="F6" s="85">
        <v>129980.89</v>
      </c>
      <c r="G6" s="85">
        <v>149543.71</v>
      </c>
      <c r="H6" s="82">
        <v>149543.71000000002</v>
      </c>
      <c r="I6" s="82">
        <v>0.0</v>
      </c>
    </row>
    <row r="7" ht="12.75" customHeight="1">
      <c r="A7" s="84">
        <v>45870.0</v>
      </c>
      <c r="B7" s="85" t="s">
        <v>501</v>
      </c>
      <c r="C7" s="82" t="s">
        <v>83</v>
      </c>
      <c r="D7" s="85" t="s">
        <v>160</v>
      </c>
      <c r="E7" s="85">
        <v>90842.0</v>
      </c>
      <c r="G7" s="85">
        <v>58701.71</v>
      </c>
      <c r="H7" s="82">
        <v>58701.71000000002</v>
      </c>
      <c r="I7" s="82">
        <v>0.0</v>
      </c>
    </row>
    <row r="8" ht="12.75" customHeight="1">
      <c r="A8" s="84">
        <v>45871.0</v>
      </c>
      <c r="B8" s="85" t="s">
        <v>502</v>
      </c>
      <c r="C8" s="82" t="s">
        <v>118</v>
      </c>
      <c r="E8" s="85">
        <v>500.0</v>
      </c>
      <c r="G8" s="85">
        <v>58201.71</v>
      </c>
      <c r="H8" s="82">
        <v>58201.71000000002</v>
      </c>
      <c r="I8" s="82">
        <v>0.0</v>
      </c>
    </row>
    <row r="9" ht="12.75" customHeight="1">
      <c r="A9" s="84">
        <v>45871.0</v>
      </c>
      <c r="B9" s="85" t="s">
        <v>503</v>
      </c>
      <c r="C9" s="83" t="s">
        <v>97</v>
      </c>
      <c r="D9" s="83" t="s">
        <v>166</v>
      </c>
      <c r="E9" s="85">
        <v>1852.21</v>
      </c>
      <c r="G9" s="85">
        <v>56349.5</v>
      </c>
      <c r="H9" s="82">
        <v>56349.50000000002</v>
      </c>
      <c r="I9" s="82">
        <v>0.0</v>
      </c>
    </row>
    <row r="10" ht="12.75" customHeight="1">
      <c r="A10" s="84">
        <v>45872.0</v>
      </c>
      <c r="B10" s="85" t="s">
        <v>504</v>
      </c>
      <c r="C10" s="82" t="s">
        <v>98</v>
      </c>
      <c r="D10" s="85" t="s">
        <v>505</v>
      </c>
      <c r="E10" s="85">
        <v>1000.0</v>
      </c>
      <c r="G10" s="85">
        <v>55349.5</v>
      </c>
      <c r="H10" s="82">
        <v>55349.50000000002</v>
      </c>
      <c r="I10" s="82">
        <v>0.0</v>
      </c>
    </row>
    <row r="11" ht="12.75" customHeight="1">
      <c r="A11" s="84">
        <v>45873.0</v>
      </c>
      <c r="B11" s="85" t="s">
        <v>506</v>
      </c>
      <c r="C11" s="82" t="s">
        <v>507</v>
      </c>
      <c r="D11" s="85" t="s">
        <v>129</v>
      </c>
      <c r="F11" s="85">
        <v>100000.0</v>
      </c>
      <c r="G11" s="85">
        <v>155349.5</v>
      </c>
      <c r="H11" s="82">
        <v>155349.50000000003</v>
      </c>
      <c r="I11" s="82">
        <v>0.0</v>
      </c>
    </row>
    <row r="12" ht="12.75" customHeight="1">
      <c r="A12" s="84">
        <v>45873.0</v>
      </c>
      <c r="B12" s="85" t="s">
        <v>508</v>
      </c>
      <c r="C12" s="82" t="s">
        <v>87</v>
      </c>
      <c r="D12" s="82" t="s">
        <v>171</v>
      </c>
      <c r="E12" s="85">
        <v>890.0</v>
      </c>
      <c r="G12" s="85">
        <v>154459.5</v>
      </c>
      <c r="H12" s="82">
        <v>154459.50000000003</v>
      </c>
      <c r="I12" s="82">
        <v>0.0</v>
      </c>
    </row>
    <row r="13" ht="12.75" customHeight="1">
      <c r="A13" s="84">
        <v>45873.0</v>
      </c>
      <c r="B13" s="85" t="s">
        <v>509</v>
      </c>
      <c r="C13" s="82" t="s">
        <v>87</v>
      </c>
      <c r="D13" s="82" t="s">
        <v>155</v>
      </c>
      <c r="E13" s="85">
        <v>1620.0</v>
      </c>
      <c r="G13" s="85">
        <v>152839.5</v>
      </c>
      <c r="H13" s="82">
        <v>152839.50000000003</v>
      </c>
      <c r="I13" s="82">
        <v>0.0</v>
      </c>
    </row>
    <row r="14" ht="12.75" customHeight="1">
      <c r="A14" s="84">
        <v>45873.0</v>
      </c>
      <c r="B14" s="85" t="s">
        <v>510</v>
      </c>
      <c r="C14" s="82" t="s">
        <v>81</v>
      </c>
      <c r="D14" s="82" t="s">
        <v>392</v>
      </c>
      <c r="E14" s="85">
        <v>220.0</v>
      </c>
      <c r="G14" s="85">
        <v>152619.5</v>
      </c>
      <c r="H14" s="82">
        <v>152619.50000000003</v>
      </c>
      <c r="I14" s="82">
        <v>0.0</v>
      </c>
    </row>
    <row r="15" ht="12.75" customHeight="1">
      <c r="A15" s="84">
        <v>45873.0</v>
      </c>
      <c r="B15" s="85" t="s">
        <v>511</v>
      </c>
      <c r="C15" s="82" t="s">
        <v>100</v>
      </c>
      <c r="D15" s="82" t="s">
        <v>149</v>
      </c>
      <c r="E15" s="85">
        <v>300.9</v>
      </c>
      <c r="G15" s="85">
        <v>152318.6</v>
      </c>
      <c r="H15" s="82">
        <v>152318.60000000003</v>
      </c>
      <c r="I15" s="82">
        <v>0.0</v>
      </c>
    </row>
    <row r="16" ht="12.75" customHeight="1">
      <c r="A16" s="84">
        <v>45873.0</v>
      </c>
      <c r="B16" s="85" t="s">
        <v>512</v>
      </c>
      <c r="C16" s="82" t="s">
        <v>83</v>
      </c>
      <c r="D16" s="82" t="s">
        <v>218</v>
      </c>
      <c r="E16" s="85">
        <v>77992.0</v>
      </c>
      <c r="G16" s="85">
        <v>74326.6</v>
      </c>
      <c r="H16" s="82">
        <v>74326.60000000003</v>
      </c>
      <c r="I16" s="82">
        <v>0.0</v>
      </c>
    </row>
    <row r="17" ht="12.75" customHeight="1">
      <c r="A17" s="84">
        <v>45874.0</v>
      </c>
      <c r="B17" s="85" t="s">
        <v>513</v>
      </c>
      <c r="C17" s="82" t="s">
        <v>91</v>
      </c>
      <c r="D17" s="82" t="s">
        <v>162</v>
      </c>
      <c r="E17" s="85">
        <v>18875.0</v>
      </c>
      <c r="G17" s="85">
        <v>55451.6</v>
      </c>
      <c r="H17" s="82">
        <v>55451.600000000035</v>
      </c>
      <c r="I17" s="82">
        <v>0.0</v>
      </c>
    </row>
    <row r="18" ht="12.75" customHeight="1">
      <c r="A18" s="84">
        <v>45874.0</v>
      </c>
      <c r="B18" s="85" t="s">
        <v>514</v>
      </c>
      <c r="C18" s="82" t="s">
        <v>91</v>
      </c>
      <c r="D18" s="82" t="s">
        <v>260</v>
      </c>
      <c r="E18" s="85">
        <v>18875.0</v>
      </c>
      <c r="G18" s="85">
        <v>36576.6</v>
      </c>
      <c r="H18" s="82">
        <v>36576.600000000035</v>
      </c>
      <c r="I18" s="82">
        <v>0.0</v>
      </c>
    </row>
    <row r="19" ht="12.75" customHeight="1">
      <c r="A19" s="84">
        <v>45875.0</v>
      </c>
      <c r="B19" s="85" t="s">
        <v>515</v>
      </c>
      <c r="C19" s="83" t="s">
        <v>106</v>
      </c>
      <c r="D19" s="83" t="s">
        <v>274</v>
      </c>
      <c r="E19" s="85">
        <v>4130.0</v>
      </c>
      <c r="G19" s="85">
        <v>32446.6</v>
      </c>
      <c r="H19" s="82">
        <v>32446.600000000035</v>
      </c>
      <c r="I19" s="82">
        <v>-3.637978807091713E-11</v>
      </c>
    </row>
    <row r="20" ht="12.75" customHeight="1">
      <c r="A20" s="84">
        <v>45875.0</v>
      </c>
      <c r="B20" s="85" t="s">
        <v>516</v>
      </c>
      <c r="C20" s="82" t="s">
        <v>108</v>
      </c>
      <c r="D20" s="82" t="s">
        <v>265</v>
      </c>
      <c r="E20" s="85">
        <v>150.0</v>
      </c>
      <c r="G20" s="85">
        <v>32296.6</v>
      </c>
      <c r="H20" s="82">
        <v>32296.600000000035</v>
      </c>
      <c r="I20" s="82">
        <v>-3.637978807091713E-11</v>
      </c>
    </row>
    <row r="21" ht="12.75" customHeight="1">
      <c r="A21" s="84">
        <v>45875.0</v>
      </c>
      <c r="B21" s="85" t="s">
        <v>517</v>
      </c>
      <c r="C21" s="83" t="s">
        <v>97</v>
      </c>
      <c r="D21" s="83" t="s">
        <v>427</v>
      </c>
      <c r="E21" s="85">
        <v>766.44</v>
      </c>
      <c r="G21" s="85">
        <v>31530.16</v>
      </c>
      <c r="H21" s="82">
        <v>31530.160000000036</v>
      </c>
      <c r="I21" s="82">
        <v>-3.637978807091713E-11</v>
      </c>
    </row>
    <row r="22" ht="12.75" customHeight="1">
      <c r="A22" s="84">
        <v>45879.0</v>
      </c>
      <c r="B22" s="85" t="s">
        <v>518</v>
      </c>
      <c r="C22" s="82" t="s">
        <v>118</v>
      </c>
      <c r="E22" s="85">
        <v>20000.0</v>
      </c>
      <c r="G22" s="85">
        <v>11530.16</v>
      </c>
      <c r="H22" s="82">
        <v>11530.160000000036</v>
      </c>
      <c r="I22" s="82">
        <v>-3.637978807091713E-11</v>
      </c>
    </row>
    <row r="23" ht="12.75" customHeight="1">
      <c r="A23" s="84">
        <v>45879.0</v>
      </c>
      <c r="B23" s="85" t="s">
        <v>519</v>
      </c>
      <c r="C23" s="82" t="s">
        <v>87</v>
      </c>
      <c r="D23" s="82" t="s">
        <v>195</v>
      </c>
      <c r="E23" s="85">
        <v>500.0</v>
      </c>
      <c r="G23" s="85">
        <v>11030.16</v>
      </c>
      <c r="H23" s="82">
        <v>11030.160000000036</v>
      </c>
      <c r="I23" s="82">
        <v>-3.637978807091713E-11</v>
      </c>
    </row>
    <row r="24" ht="12.75" customHeight="1">
      <c r="A24" s="84">
        <v>45880.0</v>
      </c>
      <c r="B24" s="85" t="s">
        <v>520</v>
      </c>
      <c r="C24" s="82" t="s">
        <v>173</v>
      </c>
      <c r="D24" s="85" t="s">
        <v>110</v>
      </c>
      <c r="F24" s="85">
        <v>107451.91</v>
      </c>
      <c r="G24" s="85">
        <v>118482.07</v>
      </c>
      <c r="H24" s="82">
        <v>118482.07000000004</v>
      </c>
      <c r="I24" s="82">
        <v>0.0</v>
      </c>
    </row>
    <row r="25" ht="12.75" customHeight="1">
      <c r="A25" s="84">
        <v>45880.0</v>
      </c>
      <c r="B25" s="85" t="s">
        <v>521</v>
      </c>
      <c r="C25" s="82" t="s">
        <v>87</v>
      </c>
      <c r="D25" s="82" t="s">
        <v>195</v>
      </c>
      <c r="E25" s="85">
        <v>242.0</v>
      </c>
      <c r="G25" s="85">
        <v>118240.07</v>
      </c>
      <c r="H25" s="82">
        <v>118240.07000000004</v>
      </c>
      <c r="I25" s="82">
        <v>0.0</v>
      </c>
    </row>
    <row r="26" ht="12.75" customHeight="1">
      <c r="A26" s="84">
        <v>45880.0</v>
      </c>
      <c r="B26" s="85" t="s">
        <v>522</v>
      </c>
      <c r="C26" s="83" t="s">
        <v>97</v>
      </c>
      <c r="D26" s="83" t="s">
        <v>427</v>
      </c>
      <c r="E26" s="85">
        <v>8629.2</v>
      </c>
      <c r="G26" s="85">
        <v>109610.87</v>
      </c>
      <c r="H26" s="82">
        <v>109610.87000000004</v>
      </c>
      <c r="I26" s="82">
        <v>0.0</v>
      </c>
    </row>
    <row r="27" ht="12.75" customHeight="1">
      <c r="A27" s="84">
        <v>45881.0</v>
      </c>
      <c r="B27" s="85" t="s">
        <v>523</v>
      </c>
      <c r="C27" s="82" t="s">
        <v>118</v>
      </c>
      <c r="E27" s="85">
        <v>195.0</v>
      </c>
      <c r="G27" s="85">
        <v>109415.87</v>
      </c>
      <c r="H27" s="82">
        <v>109415.87000000004</v>
      </c>
      <c r="I27" s="82">
        <v>0.0</v>
      </c>
    </row>
    <row r="28" ht="12.75" customHeight="1">
      <c r="A28" s="84">
        <v>45881.0</v>
      </c>
      <c r="B28" s="85" t="s">
        <v>524</v>
      </c>
      <c r="C28" s="82" t="s">
        <v>96</v>
      </c>
      <c r="D28" s="85" t="s">
        <v>175</v>
      </c>
      <c r="E28" s="85">
        <v>84523.0</v>
      </c>
      <c r="G28" s="85">
        <v>24892.87</v>
      </c>
      <c r="H28" s="82">
        <v>24892.87000000004</v>
      </c>
      <c r="I28" s="82">
        <v>-4.001776687800884E-11</v>
      </c>
    </row>
    <row r="29" ht="12.75" customHeight="1">
      <c r="A29" s="84">
        <v>45881.0</v>
      </c>
      <c r="B29" s="85" t="s">
        <v>525</v>
      </c>
      <c r="C29" s="82" t="s">
        <v>96</v>
      </c>
      <c r="D29" s="85" t="s">
        <v>190</v>
      </c>
      <c r="E29" s="85">
        <v>7649.0</v>
      </c>
      <c r="G29" s="85">
        <v>17243.87</v>
      </c>
      <c r="H29" s="82">
        <v>17243.87000000004</v>
      </c>
      <c r="I29" s="82">
        <v>-4.001776687800884E-11</v>
      </c>
    </row>
    <row r="30" ht="12.75" customHeight="1">
      <c r="A30" s="84">
        <v>45881.0</v>
      </c>
      <c r="B30" s="85" t="s">
        <v>526</v>
      </c>
      <c r="C30" s="82" t="s">
        <v>96</v>
      </c>
      <c r="D30" s="85" t="s">
        <v>179</v>
      </c>
      <c r="E30" s="85">
        <v>8358.0</v>
      </c>
      <c r="G30" s="85">
        <v>8885.87</v>
      </c>
      <c r="H30" s="82">
        <v>8885.870000000039</v>
      </c>
      <c r="I30" s="82">
        <v>-3.8198777474462986E-11</v>
      </c>
    </row>
    <row r="31" ht="12.75" customHeight="1">
      <c r="A31" s="84">
        <v>45881.0</v>
      </c>
      <c r="B31" s="85" t="s">
        <v>527</v>
      </c>
      <c r="C31" s="82" t="s">
        <v>98</v>
      </c>
      <c r="D31" s="85" t="s">
        <v>528</v>
      </c>
      <c r="E31" s="85">
        <v>3880.0</v>
      </c>
      <c r="G31" s="85">
        <v>5005.87</v>
      </c>
      <c r="H31" s="82">
        <v>5005.870000000039</v>
      </c>
      <c r="I31" s="82">
        <v>-3.9108272176235914E-11</v>
      </c>
    </row>
    <row r="32" ht="12.75" customHeight="1">
      <c r="A32" s="84">
        <v>45881.0</v>
      </c>
      <c r="B32" s="85" t="s">
        <v>529</v>
      </c>
      <c r="C32" s="82" t="s">
        <v>118</v>
      </c>
      <c r="E32" s="85">
        <v>74.0</v>
      </c>
      <c r="G32" s="85">
        <v>4931.87</v>
      </c>
      <c r="H32" s="82">
        <v>4931.870000000039</v>
      </c>
      <c r="I32" s="82">
        <v>-3.9108272176235914E-11</v>
      </c>
    </row>
    <row r="33" ht="12.75" customHeight="1">
      <c r="A33" s="84">
        <v>45882.0</v>
      </c>
      <c r="B33" s="85" t="s">
        <v>530</v>
      </c>
      <c r="C33" s="82" t="s">
        <v>118</v>
      </c>
      <c r="E33" s="85">
        <v>3000.0</v>
      </c>
      <c r="G33" s="85">
        <v>1931.87</v>
      </c>
      <c r="H33" s="82">
        <v>1931.870000000039</v>
      </c>
      <c r="I33" s="82">
        <v>-3.9108272176235914E-11</v>
      </c>
    </row>
    <row r="34" ht="12.75" customHeight="1">
      <c r="A34" s="84">
        <v>45883.0</v>
      </c>
      <c r="B34" s="85" t="s">
        <v>531</v>
      </c>
      <c r="C34" s="82" t="s">
        <v>100</v>
      </c>
      <c r="D34" s="85" t="s">
        <v>149</v>
      </c>
      <c r="E34" s="85">
        <v>300.9</v>
      </c>
      <c r="G34" s="85">
        <v>1630.97</v>
      </c>
      <c r="H34" s="82">
        <v>1630.970000000039</v>
      </c>
      <c r="I34" s="82">
        <v>-3.888089850079268E-11</v>
      </c>
    </row>
    <row r="35" ht="12.75" customHeight="1">
      <c r="A35" s="84">
        <v>45883.0</v>
      </c>
      <c r="B35" s="85" t="s">
        <v>532</v>
      </c>
      <c r="C35" s="82" t="s">
        <v>507</v>
      </c>
      <c r="D35" s="85" t="s">
        <v>533</v>
      </c>
      <c r="F35" s="85">
        <v>10620.0</v>
      </c>
      <c r="G35" s="85">
        <v>12250.97</v>
      </c>
      <c r="H35" s="82">
        <v>12250.97000000004</v>
      </c>
      <c r="I35" s="82">
        <v>-4.001776687800884E-11</v>
      </c>
    </row>
    <row r="36" ht="12.75" customHeight="1">
      <c r="A36" s="84">
        <v>45883.0</v>
      </c>
      <c r="B36" s="85" t="s">
        <v>534</v>
      </c>
      <c r="C36" s="82" t="s">
        <v>98</v>
      </c>
      <c r="D36" s="85" t="s">
        <v>465</v>
      </c>
      <c r="E36" s="85">
        <v>6702.0</v>
      </c>
      <c r="G36" s="85">
        <v>5548.97</v>
      </c>
      <c r="H36" s="82">
        <v>5548.970000000039</v>
      </c>
      <c r="I36" s="82">
        <v>-3.9108272176235914E-11</v>
      </c>
    </row>
    <row r="37" ht="12.75" customHeight="1">
      <c r="A37" s="84">
        <v>45883.0</v>
      </c>
      <c r="B37" s="85" t="s">
        <v>535</v>
      </c>
      <c r="C37" s="82" t="s">
        <v>98</v>
      </c>
      <c r="D37" s="85" t="s">
        <v>177</v>
      </c>
      <c r="E37" s="85">
        <v>4000.0</v>
      </c>
      <c r="G37" s="85">
        <v>1548.97</v>
      </c>
      <c r="H37" s="82">
        <v>1548.9700000000394</v>
      </c>
      <c r="I37" s="82">
        <v>-3.9335645851679146E-11</v>
      </c>
    </row>
    <row r="38" ht="12.75" customHeight="1">
      <c r="A38" s="84">
        <v>45883.0</v>
      </c>
      <c r="B38" s="85" t="s">
        <v>536</v>
      </c>
      <c r="C38" s="82" t="s">
        <v>537</v>
      </c>
      <c r="D38" s="85" t="s">
        <v>537</v>
      </c>
      <c r="F38" s="85">
        <v>19550.0</v>
      </c>
      <c r="G38" s="85">
        <v>21098.97</v>
      </c>
      <c r="H38" s="82">
        <v>21098.970000000038</v>
      </c>
      <c r="I38" s="82">
        <v>-3.637978807091713E-11</v>
      </c>
    </row>
    <row r="39" ht="12.75" customHeight="1">
      <c r="A39" s="84">
        <v>45883.0</v>
      </c>
      <c r="B39" s="85" t="s">
        <v>538</v>
      </c>
      <c r="C39" s="82" t="s">
        <v>537</v>
      </c>
      <c r="D39" s="85" t="s">
        <v>537</v>
      </c>
      <c r="E39" s="85">
        <v>19560.0</v>
      </c>
      <c r="G39" s="85">
        <v>1538.97</v>
      </c>
      <c r="H39" s="82">
        <v>1538.9700000000375</v>
      </c>
      <c r="I39" s="82">
        <v>-3.751665644813329E-11</v>
      </c>
    </row>
    <row r="40" ht="12.75" customHeight="1">
      <c r="A40" s="84">
        <v>45883.0</v>
      </c>
      <c r="B40" s="85" t="s">
        <v>539</v>
      </c>
      <c r="C40" s="82" t="s">
        <v>537</v>
      </c>
      <c r="D40" s="85" t="s">
        <v>537</v>
      </c>
      <c r="F40" s="85">
        <v>5000.0</v>
      </c>
      <c r="G40" s="85">
        <v>6538.97</v>
      </c>
      <c r="H40" s="82">
        <v>6538.9700000000375</v>
      </c>
      <c r="I40" s="82">
        <v>-3.728928277269006E-11</v>
      </c>
    </row>
    <row r="41" ht="12.75" customHeight="1">
      <c r="A41" s="84">
        <v>45883.0</v>
      </c>
      <c r="B41" s="85" t="s">
        <v>540</v>
      </c>
      <c r="C41" s="82" t="s">
        <v>537</v>
      </c>
      <c r="D41" s="85" t="s">
        <v>537</v>
      </c>
      <c r="F41" s="85">
        <v>2000.0</v>
      </c>
      <c r="G41" s="85">
        <v>8538.97</v>
      </c>
      <c r="H41" s="82">
        <v>8538.970000000038</v>
      </c>
      <c r="I41" s="82">
        <v>-3.8198777474462986E-11</v>
      </c>
    </row>
    <row r="42" ht="12.75" customHeight="1">
      <c r="A42" s="84">
        <v>45883.0</v>
      </c>
      <c r="B42" s="85" t="s">
        <v>541</v>
      </c>
      <c r="C42" s="82" t="s">
        <v>537</v>
      </c>
      <c r="D42" s="85" t="s">
        <v>537</v>
      </c>
      <c r="E42" s="85">
        <v>7000.0</v>
      </c>
      <c r="G42" s="85">
        <v>1538.97</v>
      </c>
      <c r="H42" s="82">
        <v>1538.9700000000375</v>
      </c>
      <c r="I42" s="82">
        <v>-3.751665644813329E-11</v>
      </c>
    </row>
    <row r="43" ht="12.75" customHeight="1">
      <c r="A43" s="84">
        <v>45884.0</v>
      </c>
      <c r="B43" s="85" t="s">
        <v>542</v>
      </c>
      <c r="C43" s="82" t="s">
        <v>118</v>
      </c>
      <c r="E43" s="85">
        <v>1000.0</v>
      </c>
      <c r="G43" s="85">
        <v>538.97</v>
      </c>
      <c r="H43" s="82">
        <v>538.9700000000375</v>
      </c>
      <c r="I43" s="82">
        <v>-3.751665644813329E-11</v>
      </c>
    </row>
    <row r="44" ht="12.75" customHeight="1">
      <c r="A44" s="84">
        <v>45884.0</v>
      </c>
      <c r="B44" s="85" t="s">
        <v>543</v>
      </c>
      <c r="C44" s="85" t="s">
        <v>146</v>
      </c>
      <c r="D44" s="85" t="s">
        <v>147</v>
      </c>
      <c r="F44" s="85">
        <v>130283.0</v>
      </c>
      <c r="G44" s="85">
        <v>130821.97</v>
      </c>
      <c r="H44" s="82">
        <v>130821.97000000003</v>
      </c>
      <c r="I44" s="82">
        <v>0.0</v>
      </c>
    </row>
    <row r="45" ht="12.75" customHeight="1">
      <c r="A45" s="84">
        <v>45884.0</v>
      </c>
      <c r="B45" s="85" t="s">
        <v>544</v>
      </c>
      <c r="C45" s="82" t="s">
        <v>98</v>
      </c>
      <c r="D45" s="85" t="s">
        <v>338</v>
      </c>
      <c r="E45" s="85">
        <v>8713.0</v>
      </c>
      <c r="G45" s="85">
        <v>122108.97</v>
      </c>
      <c r="H45" s="82">
        <v>122108.97000000003</v>
      </c>
      <c r="I45" s="82">
        <v>0.0</v>
      </c>
    </row>
    <row r="46" ht="12.75" customHeight="1">
      <c r="A46" s="84">
        <v>45884.0</v>
      </c>
      <c r="B46" s="85" t="s">
        <v>545</v>
      </c>
      <c r="C46" s="82" t="s">
        <v>96</v>
      </c>
      <c r="D46" s="85" t="s">
        <v>181</v>
      </c>
      <c r="E46" s="85">
        <v>8713.0</v>
      </c>
      <c r="G46" s="85">
        <v>113395.97</v>
      </c>
      <c r="H46" s="82">
        <v>113395.97000000003</v>
      </c>
      <c r="I46" s="82">
        <v>0.0</v>
      </c>
    </row>
    <row r="47" ht="12.75" customHeight="1">
      <c r="A47" s="84">
        <v>45884.0</v>
      </c>
      <c r="B47" s="85" t="s">
        <v>546</v>
      </c>
      <c r="C47" s="82" t="s">
        <v>98</v>
      </c>
      <c r="D47" s="85" t="s">
        <v>192</v>
      </c>
      <c r="E47" s="85">
        <v>4895.0</v>
      </c>
      <c r="G47" s="85">
        <v>108500.97</v>
      </c>
      <c r="H47" s="82">
        <v>108500.97000000003</v>
      </c>
      <c r="I47" s="82">
        <v>0.0</v>
      </c>
    </row>
    <row r="48" ht="12.75" customHeight="1">
      <c r="A48" s="84">
        <v>45884.0</v>
      </c>
      <c r="B48" s="85" t="s">
        <v>547</v>
      </c>
      <c r="C48" s="82" t="s">
        <v>98</v>
      </c>
      <c r="D48" s="85" t="s">
        <v>333</v>
      </c>
      <c r="E48" s="85">
        <v>9200.0</v>
      </c>
      <c r="G48" s="85">
        <v>99300.97</v>
      </c>
      <c r="H48" s="82">
        <v>99300.97000000003</v>
      </c>
      <c r="I48" s="82">
        <v>0.0</v>
      </c>
    </row>
    <row r="49" ht="12.75" customHeight="1">
      <c r="A49" s="84">
        <v>45884.0</v>
      </c>
      <c r="B49" s="85" t="s">
        <v>548</v>
      </c>
      <c r="C49" s="82" t="s">
        <v>98</v>
      </c>
      <c r="D49" s="85" t="s">
        <v>183</v>
      </c>
      <c r="E49" s="85">
        <v>7000.0</v>
      </c>
      <c r="G49" s="85">
        <v>92300.97</v>
      </c>
      <c r="H49" s="82">
        <v>92300.97000000003</v>
      </c>
      <c r="I49" s="82">
        <v>0.0</v>
      </c>
    </row>
    <row r="50" ht="12.75" customHeight="1">
      <c r="A50" s="84">
        <v>45884.0</v>
      </c>
      <c r="B50" s="85" t="s">
        <v>549</v>
      </c>
      <c r="C50" s="82" t="s">
        <v>88</v>
      </c>
      <c r="D50" s="82" t="s">
        <v>205</v>
      </c>
      <c r="E50" s="85">
        <v>1712.72</v>
      </c>
      <c r="G50" s="85">
        <v>90588.25</v>
      </c>
      <c r="H50" s="82">
        <v>90588.25000000003</v>
      </c>
      <c r="I50" s="82">
        <v>0.0</v>
      </c>
    </row>
    <row r="51" ht="12.75" customHeight="1">
      <c r="A51" s="84">
        <v>45884.0</v>
      </c>
      <c r="B51" s="85" t="s">
        <v>550</v>
      </c>
      <c r="C51" s="82" t="s">
        <v>96</v>
      </c>
      <c r="D51" s="85" t="s">
        <v>175</v>
      </c>
      <c r="E51" s="85">
        <v>31879.0</v>
      </c>
      <c r="G51" s="85">
        <v>58709.25</v>
      </c>
      <c r="H51" s="82">
        <v>58709.25000000003</v>
      </c>
      <c r="I51" s="82">
        <v>0.0</v>
      </c>
    </row>
    <row r="52" ht="12.75" customHeight="1">
      <c r="A52" s="84">
        <v>45884.0</v>
      </c>
      <c r="B52" s="85" t="s">
        <v>551</v>
      </c>
      <c r="C52" s="82" t="s">
        <v>88</v>
      </c>
      <c r="D52" s="82" t="s">
        <v>205</v>
      </c>
      <c r="E52" s="85">
        <v>1650.82</v>
      </c>
      <c r="G52" s="85">
        <v>57058.43</v>
      </c>
      <c r="H52" s="82">
        <v>57058.43000000003</v>
      </c>
      <c r="I52" s="82">
        <v>0.0</v>
      </c>
    </row>
    <row r="53" ht="12.75" customHeight="1">
      <c r="A53" s="84">
        <v>45884.0</v>
      </c>
      <c r="B53" s="85" t="s">
        <v>552</v>
      </c>
      <c r="C53" s="82" t="s">
        <v>98</v>
      </c>
      <c r="D53" s="82" t="s">
        <v>335</v>
      </c>
      <c r="E53" s="85">
        <v>4480.0</v>
      </c>
      <c r="G53" s="85">
        <v>52578.43</v>
      </c>
      <c r="H53" s="82">
        <v>52578.43000000003</v>
      </c>
      <c r="I53" s="82">
        <v>0.0</v>
      </c>
    </row>
    <row r="54" ht="12.75" customHeight="1">
      <c r="A54" s="84">
        <v>45884.0</v>
      </c>
      <c r="B54" s="85" t="s">
        <v>553</v>
      </c>
      <c r="C54" s="82" t="s">
        <v>98</v>
      </c>
      <c r="D54" s="82" t="s">
        <v>226</v>
      </c>
      <c r="E54" s="85">
        <v>2400.0</v>
      </c>
      <c r="G54" s="85">
        <v>50178.43</v>
      </c>
      <c r="H54" s="82">
        <v>50178.43000000003</v>
      </c>
      <c r="I54" s="82">
        <v>0.0</v>
      </c>
    </row>
    <row r="55" ht="12.75" customHeight="1">
      <c r="A55" s="84">
        <v>45884.0</v>
      </c>
      <c r="B55" s="85" t="s">
        <v>554</v>
      </c>
      <c r="C55" s="82" t="s">
        <v>86</v>
      </c>
      <c r="D55" s="82" t="s">
        <v>288</v>
      </c>
      <c r="E55" s="85">
        <v>30653.0</v>
      </c>
      <c r="G55" s="85">
        <v>19525.43</v>
      </c>
      <c r="H55" s="82">
        <v>19525.43000000003</v>
      </c>
      <c r="I55" s="82">
        <v>-2.9103830456733704E-11</v>
      </c>
    </row>
    <row r="56" ht="12.75" customHeight="1">
      <c r="A56" s="84">
        <v>45885.0</v>
      </c>
      <c r="B56" s="85" t="s">
        <v>555</v>
      </c>
      <c r="C56" s="82" t="s">
        <v>118</v>
      </c>
      <c r="E56" s="85">
        <v>1000.0</v>
      </c>
      <c r="G56" s="85">
        <v>18525.43</v>
      </c>
      <c r="H56" s="82">
        <v>18525.43000000003</v>
      </c>
      <c r="I56" s="82">
        <v>-2.9103830456733704E-11</v>
      </c>
    </row>
    <row r="57" ht="12.75" customHeight="1">
      <c r="A57" s="84">
        <v>45885.0</v>
      </c>
      <c r="B57" s="85" t="s">
        <v>556</v>
      </c>
      <c r="C57" s="82" t="s">
        <v>118</v>
      </c>
      <c r="E57" s="85">
        <v>1000.0</v>
      </c>
      <c r="G57" s="85">
        <v>17525.43</v>
      </c>
      <c r="H57" s="82">
        <v>17525.43000000003</v>
      </c>
      <c r="I57" s="82">
        <v>-2.9103830456733704E-11</v>
      </c>
    </row>
    <row r="58" ht="12.75" customHeight="1">
      <c r="A58" s="84">
        <v>45885.0</v>
      </c>
      <c r="B58" s="85" t="s">
        <v>557</v>
      </c>
      <c r="C58" s="82" t="s">
        <v>507</v>
      </c>
      <c r="D58" s="82" t="s">
        <v>110</v>
      </c>
      <c r="F58" s="85">
        <v>7186.6</v>
      </c>
      <c r="G58" s="85">
        <v>24712.03</v>
      </c>
      <c r="H58" s="82">
        <v>24712.030000000028</v>
      </c>
      <c r="I58" s="82">
        <v>-2.9103830456733704E-11</v>
      </c>
    </row>
    <row r="59" ht="12.75" customHeight="1">
      <c r="A59" s="84">
        <v>45885.0</v>
      </c>
      <c r="B59" s="85" t="s">
        <v>558</v>
      </c>
      <c r="C59" s="82" t="s">
        <v>88</v>
      </c>
      <c r="D59" s="82" t="s">
        <v>153</v>
      </c>
      <c r="E59" s="85">
        <v>649.0</v>
      </c>
      <c r="G59" s="85">
        <v>24063.03</v>
      </c>
      <c r="H59" s="82">
        <v>24063.030000000028</v>
      </c>
      <c r="I59" s="82">
        <v>-2.9103830456733704E-11</v>
      </c>
    </row>
    <row r="60" ht="12.75" customHeight="1">
      <c r="A60" s="84">
        <v>45885.0</v>
      </c>
      <c r="B60" s="85" t="s">
        <v>559</v>
      </c>
      <c r="C60" s="82" t="s">
        <v>87</v>
      </c>
      <c r="D60" s="82" t="s">
        <v>155</v>
      </c>
      <c r="E60" s="85">
        <v>1350.0</v>
      </c>
      <c r="G60" s="85">
        <v>22713.03</v>
      </c>
      <c r="H60" s="82">
        <v>22713.030000000028</v>
      </c>
      <c r="I60" s="82">
        <v>-2.9103830456733704E-11</v>
      </c>
    </row>
    <row r="61" ht="12.75" customHeight="1">
      <c r="A61" s="84">
        <v>45885.0</v>
      </c>
      <c r="B61" s="85" t="s">
        <v>560</v>
      </c>
      <c r="C61" s="82" t="s">
        <v>507</v>
      </c>
      <c r="D61" s="82" t="s">
        <v>110</v>
      </c>
      <c r="F61" s="85">
        <v>6318.95</v>
      </c>
      <c r="G61" s="85">
        <v>29031.98</v>
      </c>
      <c r="H61" s="82">
        <v>29031.98000000003</v>
      </c>
      <c r="I61" s="82">
        <v>-2.9103830456733704E-11</v>
      </c>
    </row>
    <row r="62" ht="12.75" customHeight="1">
      <c r="A62" s="84">
        <v>45887.0</v>
      </c>
      <c r="B62" s="85" t="s">
        <v>561</v>
      </c>
      <c r="C62" s="82" t="s">
        <v>85</v>
      </c>
      <c r="D62" s="82" t="s">
        <v>151</v>
      </c>
      <c r="E62" s="85">
        <v>24769.0</v>
      </c>
      <c r="G62" s="85">
        <v>4262.98</v>
      </c>
      <c r="H62" s="82">
        <v>4262.980000000029</v>
      </c>
      <c r="I62" s="82">
        <v>-2.9103830456733704E-11</v>
      </c>
    </row>
    <row r="63" ht="12.75" customHeight="1">
      <c r="A63" s="84">
        <v>45887.0</v>
      </c>
      <c r="B63" s="85" t="s">
        <v>562</v>
      </c>
      <c r="C63" s="82" t="s">
        <v>100</v>
      </c>
      <c r="D63" s="82" t="s">
        <v>149</v>
      </c>
      <c r="E63" s="85">
        <v>236.0</v>
      </c>
      <c r="G63" s="85">
        <v>4026.98</v>
      </c>
      <c r="H63" s="82">
        <v>4026.9800000000287</v>
      </c>
      <c r="I63" s="82">
        <v>-2.864908310584724E-11</v>
      </c>
    </row>
    <row r="64" ht="12.75" customHeight="1">
      <c r="A64" s="84">
        <v>45887.0</v>
      </c>
      <c r="B64" s="85" t="s">
        <v>563</v>
      </c>
      <c r="C64" s="82" t="s">
        <v>100</v>
      </c>
      <c r="D64" s="82" t="s">
        <v>149</v>
      </c>
      <c r="E64" s="85">
        <v>180.9</v>
      </c>
      <c r="G64" s="85">
        <v>3846.08</v>
      </c>
      <c r="H64" s="82">
        <v>3846.0800000000286</v>
      </c>
      <c r="I64" s="82">
        <v>-2.864908310584724E-11</v>
      </c>
    </row>
    <row r="65" ht="12.75" customHeight="1">
      <c r="A65" s="84">
        <v>45887.0</v>
      </c>
      <c r="B65" s="85" t="s">
        <v>564</v>
      </c>
      <c r="C65" s="82" t="s">
        <v>118</v>
      </c>
      <c r="E65" s="85">
        <v>3800.0</v>
      </c>
      <c r="G65" s="85">
        <v>46.08</v>
      </c>
      <c r="H65" s="82">
        <v>46.080000000028576</v>
      </c>
      <c r="I65" s="82">
        <v>-2.857802883227123E-11</v>
      </c>
    </row>
    <row r="66" ht="12.75" customHeight="1">
      <c r="A66" s="84">
        <v>45888.0</v>
      </c>
      <c r="B66" s="85" t="s">
        <v>565</v>
      </c>
      <c r="C66" s="82" t="s">
        <v>507</v>
      </c>
      <c r="D66" s="82" t="s">
        <v>109</v>
      </c>
      <c r="F66" s="85">
        <v>7160.18</v>
      </c>
      <c r="G66" s="85">
        <v>7206.26</v>
      </c>
      <c r="H66" s="82">
        <v>7206.260000000029</v>
      </c>
      <c r="I66" s="82">
        <v>-2.9103830456733704E-11</v>
      </c>
    </row>
    <row r="67" ht="12.75" customHeight="1">
      <c r="A67" s="84">
        <v>45888.0</v>
      </c>
      <c r="B67" s="85" t="s">
        <v>566</v>
      </c>
      <c r="C67" s="82" t="s">
        <v>98</v>
      </c>
      <c r="D67" s="82" t="s">
        <v>192</v>
      </c>
      <c r="E67" s="85">
        <v>2000.0</v>
      </c>
      <c r="G67" s="85">
        <v>5206.26</v>
      </c>
      <c r="H67" s="82">
        <v>5206.260000000029</v>
      </c>
      <c r="I67" s="82">
        <v>-2.9103830456733704E-11</v>
      </c>
    </row>
    <row r="68" ht="12.75" customHeight="1">
      <c r="A68" s="84">
        <v>45889.0</v>
      </c>
      <c r="B68" s="85" t="s">
        <v>567</v>
      </c>
      <c r="C68" s="83" t="s">
        <v>92</v>
      </c>
      <c r="D68" s="83" t="s">
        <v>236</v>
      </c>
      <c r="E68" s="85">
        <v>3308.0</v>
      </c>
      <c r="G68" s="85">
        <v>1898.26</v>
      </c>
      <c r="H68" s="82">
        <v>1898.2600000000293</v>
      </c>
      <c r="I68" s="82">
        <v>-2.9331204132176936E-11</v>
      </c>
    </row>
    <row r="69" ht="12.75" customHeight="1">
      <c r="A69" s="84">
        <v>45890.0</v>
      </c>
      <c r="B69" s="85" t="s">
        <v>568</v>
      </c>
      <c r="C69" s="82" t="s">
        <v>118</v>
      </c>
      <c r="E69" s="85">
        <v>1000.0</v>
      </c>
      <c r="G69" s="85">
        <v>898.26</v>
      </c>
      <c r="H69" s="82">
        <v>898.2600000000293</v>
      </c>
      <c r="I69" s="82">
        <v>-2.9331204132176936E-11</v>
      </c>
    </row>
    <row r="70" ht="12.75" customHeight="1">
      <c r="A70" s="84">
        <v>45891.0</v>
      </c>
      <c r="B70" s="85" t="s">
        <v>569</v>
      </c>
      <c r="C70" s="82" t="s">
        <v>118</v>
      </c>
      <c r="E70" s="85">
        <v>600.0</v>
      </c>
      <c r="G70" s="85">
        <v>298.26</v>
      </c>
      <c r="H70" s="82">
        <v>298.2600000000293</v>
      </c>
      <c r="I70" s="82">
        <v>-2.9331204132176936E-11</v>
      </c>
    </row>
    <row r="71" ht="12.75" customHeight="1">
      <c r="A71" s="84">
        <v>45891.0</v>
      </c>
      <c r="B71" s="85" t="s">
        <v>570</v>
      </c>
      <c r="C71" s="82" t="s">
        <v>173</v>
      </c>
      <c r="D71" s="85" t="s">
        <v>109</v>
      </c>
      <c r="F71" s="85">
        <v>3547.33</v>
      </c>
      <c r="G71" s="85">
        <v>3845.59</v>
      </c>
      <c r="H71" s="82">
        <v>3845.5900000000292</v>
      </c>
      <c r="I71" s="82">
        <v>-2.9103830456733704E-11</v>
      </c>
    </row>
    <row r="72" ht="12.75" customHeight="1">
      <c r="A72" s="84">
        <v>45891.0</v>
      </c>
      <c r="B72" s="85" t="s">
        <v>571</v>
      </c>
      <c r="C72" s="82" t="s">
        <v>173</v>
      </c>
      <c r="D72" s="85" t="s">
        <v>110</v>
      </c>
      <c r="F72" s="85">
        <v>6318.52</v>
      </c>
      <c r="G72" s="85">
        <v>10164.11</v>
      </c>
      <c r="H72" s="82">
        <v>10164.11000000003</v>
      </c>
      <c r="I72" s="82">
        <v>-2.9103830456733704E-11</v>
      </c>
    </row>
    <row r="73" ht="12.75" customHeight="1">
      <c r="A73" s="84">
        <v>45891.0</v>
      </c>
      <c r="B73" s="85" t="s">
        <v>572</v>
      </c>
      <c r="C73" s="82" t="s">
        <v>118</v>
      </c>
      <c r="E73" s="85">
        <v>1000.0</v>
      </c>
      <c r="G73" s="85">
        <v>9164.11</v>
      </c>
      <c r="H73" s="82">
        <v>9164.11000000003</v>
      </c>
      <c r="I73" s="82">
        <v>-2.9103830456733704E-11</v>
      </c>
    </row>
    <row r="74" ht="12.75" customHeight="1">
      <c r="A74" s="84">
        <v>45891.0</v>
      </c>
      <c r="B74" s="85" t="s">
        <v>573</v>
      </c>
      <c r="C74" s="82" t="s">
        <v>97</v>
      </c>
      <c r="D74" s="85" t="s">
        <v>427</v>
      </c>
      <c r="E74" s="85">
        <v>1699.0</v>
      </c>
      <c r="G74" s="85">
        <v>7465.11</v>
      </c>
      <c r="H74" s="82">
        <v>7465.11000000003</v>
      </c>
      <c r="I74" s="82">
        <v>-3.001332515850663E-11</v>
      </c>
    </row>
    <row r="75" ht="12.75" customHeight="1">
      <c r="A75" s="84">
        <v>45892.0</v>
      </c>
      <c r="B75" s="85" t="s">
        <v>574</v>
      </c>
      <c r="C75" s="82" t="s">
        <v>118</v>
      </c>
      <c r="E75" s="85">
        <v>5500.0</v>
      </c>
      <c r="G75" s="85">
        <v>1965.11</v>
      </c>
      <c r="H75" s="82">
        <v>1965.1100000000297</v>
      </c>
      <c r="I75" s="82">
        <v>-2.97859514830634E-11</v>
      </c>
    </row>
    <row r="76" ht="12.75" customHeight="1">
      <c r="A76" s="84">
        <v>45893.0</v>
      </c>
      <c r="B76" s="85" t="s">
        <v>575</v>
      </c>
      <c r="C76" s="82" t="s">
        <v>118</v>
      </c>
      <c r="E76" s="85">
        <v>1500.0</v>
      </c>
      <c r="G76" s="85">
        <v>465.11</v>
      </c>
      <c r="H76" s="82">
        <v>465.1100000000297</v>
      </c>
      <c r="I76" s="82">
        <v>-2.9672264645341784E-11</v>
      </c>
    </row>
    <row r="77" ht="12.75" customHeight="1">
      <c r="A77" s="84">
        <v>45893.0</v>
      </c>
      <c r="B77" s="85" t="s">
        <v>576</v>
      </c>
      <c r="C77" s="82" t="s">
        <v>118</v>
      </c>
      <c r="F77" s="85">
        <v>300.0</v>
      </c>
      <c r="G77" s="85">
        <v>765.11</v>
      </c>
      <c r="H77" s="82">
        <v>765.1100000000297</v>
      </c>
      <c r="I77" s="82">
        <v>-2.9672264645341784E-11</v>
      </c>
    </row>
    <row r="78" ht="12.75" customHeight="1">
      <c r="A78" s="84">
        <v>45893.0</v>
      </c>
      <c r="B78" s="85" t="s">
        <v>577</v>
      </c>
      <c r="C78" s="82" t="s">
        <v>108</v>
      </c>
      <c r="D78" s="85" t="s">
        <v>578</v>
      </c>
      <c r="E78" s="85">
        <v>750.0</v>
      </c>
      <c r="G78" s="85">
        <v>15.11</v>
      </c>
      <c r="H78" s="82">
        <v>15.110000000029686</v>
      </c>
      <c r="I78" s="82">
        <v>-2.9686475500056986E-11</v>
      </c>
    </row>
    <row r="79" ht="12.75" customHeight="1">
      <c r="A79" s="84">
        <v>45895.0</v>
      </c>
      <c r="B79" s="85" t="s">
        <v>579</v>
      </c>
      <c r="C79" s="82" t="s">
        <v>507</v>
      </c>
      <c r="D79" s="85" t="s">
        <v>580</v>
      </c>
      <c r="F79" s="85">
        <v>45000.0</v>
      </c>
      <c r="G79" s="85">
        <v>45015.11</v>
      </c>
      <c r="H79" s="82">
        <v>45015.11000000003</v>
      </c>
      <c r="I79" s="82">
        <v>0.0</v>
      </c>
    </row>
    <row r="80" ht="12.75" customHeight="1">
      <c r="A80" s="84">
        <v>45895.0</v>
      </c>
      <c r="B80" s="85" t="s">
        <v>581</v>
      </c>
      <c r="C80" s="82" t="s">
        <v>108</v>
      </c>
      <c r="D80" s="85" t="s">
        <v>181</v>
      </c>
      <c r="E80" s="85">
        <v>500.0</v>
      </c>
      <c r="G80" s="85">
        <v>44515.11</v>
      </c>
      <c r="H80" s="82">
        <v>44515.11000000003</v>
      </c>
      <c r="I80" s="82">
        <v>0.0</v>
      </c>
    </row>
    <row r="81" ht="12.75" customHeight="1">
      <c r="A81" s="84">
        <v>45895.0</v>
      </c>
      <c r="B81" s="85" t="s">
        <v>582</v>
      </c>
      <c r="C81" s="82" t="s">
        <v>121</v>
      </c>
      <c r="D81" s="85" t="s">
        <v>583</v>
      </c>
      <c r="E81" s="85">
        <v>3200.0</v>
      </c>
      <c r="G81" s="85">
        <v>41315.11</v>
      </c>
      <c r="H81" s="82">
        <v>41315.11000000003</v>
      </c>
      <c r="I81" s="82">
        <v>0.0</v>
      </c>
    </row>
    <row r="82" ht="12.75" customHeight="1">
      <c r="A82" s="84">
        <v>45895.0</v>
      </c>
      <c r="B82" s="85" t="s">
        <v>584</v>
      </c>
      <c r="C82" s="82" t="s">
        <v>118</v>
      </c>
      <c r="E82" s="85">
        <v>500.0</v>
      </c>
      <c r="G82" s="85">
        <v>40815.11</v>
      </c>
      <c r="H82" s="82">
        <v>40815.11000000003</v>
      </c>
      <c r="I82" s="82">
        <v>0.0</v>
      </c>
    </row>
    <row r="83" ht="12.75" customHeight="1">
      <c r="A83" s="84">
        <v>45896.0</v>
      </c>
      <c r="B83" s="85" t="s">
        <v>585</v>
      </c>
      <c r="C83" s="82" t="s">
        <v>90</v>
      </c>
      <c r="D83" s="85" t="s">
        <v>586</v>
      </c>
      <c r="E83" s="85">
        <v>600.0</v>
      </c>
      <c r="G83" s="85">
        <v>40215.11</v>
      </c>
      <c r="H83" s="82">
        <v>40215.11000000003</v>
      </c>
      <c r="I83" s="82">
        <v>0.0</v>
      </c>
    </row>
    <row r="84" ht="12.75" customHeight="1">
      <c r="A84" s="84">
        <v>45896.0</v>
      </c>
      <c r="B84" s="85" t="s">
        <v>587</v>
      </c>
      <c r="C84" s="82" t="s">
        <v>118</v>
      </c>
      <c r="E84" s="85">
        <v>320.0</v>
      </c>
      <c r="G84" s="85">
        <v>39895.11</v>
      </c>
      <c r="H84" s="82">
        <v>39895.11000000003</v>
      </c>
      <c r="I84" s="82">
        <v>0.0</v>
      </c>
    </row>
    <row r="85" ht="12.75" customHeight="1">
      <c r="A85" s="84">
        <v>45896.0</v>
      </c>
      <c r="B85" s="85" t="s">
        <v>588</v>
      </c>
      <c r="C85" s="82" t="s">
        <v>118</v>
      </c>
      <c r="E85" s="85">
        <v>70.0</v>
      </c>
      <c r="G85" s="85">
        <v>39825.11</v>
      </c>
      <c r="H85" s="82">
        <v>39825.11000000003</v>
      </c>
      <c r="I85" s="82">
        <v>0.0</v>
      </c>
    </row>
    <row r="86" ht="12.75" customHeight="1">
      <c r="A86" s="84">
        <v>45896.0</v>
      </c>
      <c r="B86" s="85" t="s">
        <v>589</v>
      </c>
      <c r="C86" s="82" t="s">
        <v>118</v>
      </c>
      <c r="E86" s="85">
        <v>150.0</v>
      </c>
      <c r="G86" s="85">
        <v>39675.11</v>
      </c>
      <c r="H86" s="82">
        <v>39675.11000000003</v>
      </c>
      <c r="I86" s="82">
        <v>0.0</v>
      </c>
    </row>
    <row r="87" ht="12.75" customHeight="1">
      <c r="A87" s="84">
        <v>45896.0</v>
      </c>
      <c r="B87" s="85" t="s">
        <v>590</v>
      </c>
      <c r="C87" s="82" t="s">
        <v>118</v>
      </c>
      <c r="E87" s="85">
        <v>60.0</v>
      </c>
      <c r="G87" s="85">
        <v>39615.11</v>
      </c>
      <c r="H87" s="82">
        <v>39615.11000000003</v>
      </c>
      <c r="I87" s="82">
        <v>0.0</v>
      </c>
    </row>
    <row r="88" ht="12.75" customHeight="1">
      <c r="A88" s="84">
        <v>45896.0</v>
      </c>
      <c r="B88" s="85" t="s">
        <v>591</v>
      </c>
      <c r="C88" s="82" t="s">
        <v>94</v>
      </c>
      <c r="D88" s="82" t="s">
        <v>158</v>
      </c>
      <c r="E88" s="85">
        <v>1003.0</v>
      </c>
      <c r="G88" s="85">
        <v>38612.11</v>
      </c>
      <c r="H88" s="82">
        <v>38612.11000000003</v>
      </c>
      <c r="I88" s="82">
        <v>0.0</v>
      </c>
    </row>
    <row r="89" ht="12.75" customHeight="1">
      <c r="A89" s="84">
        <v>45896.0</v>
      </c>
      <c r="B89" s="85" t="s">
        <v>592</v>
      </c>
      <c r="C89" s="82" t="s">
        <v>100</v>
      </c>
      <c r="D89" s="85" t="s">
        <v>149</v>
      </c>
      <c r="E89" s="85">
        <v>300.9</v>
      </c>
      <c r="G89" s="85">
        <v>38311.21</v>
      </c>
      <c r="H89" s="82">
        <v>38311.21000000003</v>
      </c>
      <c r="I89" s="82">
        <v>0.0</v>
      </c>
    </row>
    <row r="90" ht="12.75" customHeight="1">
      <c r="A90" s="84">
        <v>45896.0</v>
      </c>
      <c r="B90" s="85" t="s">
        <v>593</v>
      </c>
      <c r="C90" s="82" t="s">
        <v>114</v>
      </c>
      <c r="D90" s="82" t="s">
        <v>375</v>
      </c>
      <c r="E90" s="85">
        <v>2000.0</v>
      </c>
      <c r="G90" s="85">
        <v>36311.21</v>
      </c>
      <c r="H90" s="82">
        <v>36311.21000000003</v>
      </c>
      <c r="I90" s="82">
        <v>0.0</v>
      </c>
    </row>
    <row r="91" ht="12.75" customHeight="1">
      <c r="A91" s="84">
        <v>45896.0</v>
      </c>
      <c r="B91" s="85" t="s">
        <v>594</v>
      </c>
      <c r="C91" s="82" t="s">
        <v>120</v>
      </c>
      <c r="D91" s="82" t="s">
        <v>197</v>
      </c>
      <c r="E91" s="85">
        <v>18000.0</v>
      </c>
      <c r="G91" s="85">
        <v>18311.21</v>
      </c>
      <c r="H91" s="82">
        <v>18311.21000000003</v>
      </c>
      <c r="I91" s="82">
        <v>-2.9103830456733704E-11</v>
      </c>
    </row>
    <row r="92" ht="12.75" customHeight="1">
      <c r="A92" s="84">
        <v>45898.0</v>
      </c>
      <c r="B92" s="85" t="s">
        <v>595</v>
      </c>
      <c r="C92" s="82" t="s">
        <v>94</v>
      </c>
      <c r="D92" s="82" t="s">
        <v>158</v>
      </c>
      <c r="E92" s="85">
        <v>1003.0</v>
      </c>
      <c r="G92" s="85">
        <v>17308.21</v>
      </c>
      <c r="H92" s="82">
        <v>17308.21000000003</v>
      </c>
      <c r="I92" s="82">
        <v>-2.9103830456733704E-11</v>
      </c>
    </row>
    <row r="93" ht="12.75" customHeight="1">
      <c r="A93" s="84">
        <v>45898.0</v>
      </c>
      <c r="B93" s="85" t="s">
        <v>596</v>
      </c>
      <c r="C93" s="82" t="s">
        <v>100</v>
      </c>
      <c r="D93" s="85" t="s">
        <v>149</v>
      </c>
      <c r="E93" s="85">
        <v>300.9</v>
      </c>
      <c r="G93" s="85">
        <v>17007.31</v>
      </c>
      <c r="H93" s="82">
        <v>17007.310000000027</v>
      </c>
      <c r="I93" s="82">
        <v>0.0</v>
      </c>
    </row>
    <row r="94" ht="12.75" customHeight="1">
      <c r="A94" s="84">
        <v>45898.0</v>
      </c>
      <c r="B94" s="85" t="s">
        <v>597</v>
      </c>
      <c r="C94" s="82" t="s">
        <v>118</v>
      </c>
      <c r="E94" s="85">
        <v>1500.0</v>
      </c>
      <c r="G94" s="85">
        <v>15507.31</v>
      </c>
      <c r="H94" s="82">
        <v>15507.310000000027</v>
      </c>
      <c r="I94" s="82">
        <v>-2.7284841053187847E-11</v>
      </c>
    </row>
    <row r="95" ht="12.75" customHeight="1">
      <c r="A95" s="84">
        <v>45898.0</v>
      </c>
      <c r="B95" s="85" t="s">
        <v>598</v>
      </c>
      <c r="C95" s="82" t="s">
        <v>87</v>
      </c>
      <c r="D95" s="82" t="s">
        <v>155</v>
      </c>
      <c r="E95" s="85">
        <v>1350.0</v>
      </c>
      <c r="G95" s="85">
        <v>14157.31</v>
      </c>
      <c r="H95" s="82">
        <v>14157.310000000027</v>
      </c>
      <c r="I95" s="82">
        <v>-2.7284841053187847E-11</v>
      </c>
    </row>
    <row r="96" ht="12.75" customHeight="1">
      <c r="A96" s="84">
        <v>45899.0</v>
      </c>
      <c r="B96" s="85" t="s">
        <v>599</v>
      </c>
      <c r="C96" s="82" t="s">
        <v>87</v>
      </c>
      <c r="D96" s="82" t="s">
        <v>171</v>
      </c>
      <c r="E96" s="85">
        <v>870.0</v>
      </c>
      <c r="G96" s="85">
        <v>13287.31</v>
      </c>
      <c r="H96" s="82">
        <v>13287.310000000027</v>
      </c>
      <c r="I96" s="82">
        <v>-2.7284841053187847E-11</v>
      </c>
    </row>
    <row r="97" ht="12.75" customHeight="1"/>
    <row r="98" ht="12.75" customHeight="1"/>
    <row r="99" ht="12.75" customHeight="1">
      <c r="E99" s="97">
        <f t="shared" ref="E99:F99" si="1">SUM(E2:E98)</f>
        <v>588415.79</v>
      </c>
      <c r="F99" s="97">
        <f t="shared" si="1"/>
        <v>580717.38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23.63"/>
    <col customWidth="1" min="3" max="3" width="19.75"/>
    <col customWidth="1" min="4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08.63"/>
    <col customWidth="1" min="3" max="3" width="63.63"/>
    <col customWidth="1" min="4" max="4" width="71.25"/>
    <col customWidth="1" min="5" max="5" width="16.25"/>
    <col customWidth="1" min="6" max="6" width="12.38"/>
    <col customWidth="1" min="7" max="8" width="15.88"/>
    <col customWidth="1" min="9" max="9" width="13.13"/>
    <col customWidth="1" min="10" max="26" width="8.63"/>
  </cols>
  <sheetData>
    <row r="1" ht="12.75" customHeight="1">
      <c r="A1" s="80" t="s">
        <v>78</v>
      </c>
      <c r="B1" s="80" t="s">
        <v>138</v>
      </c>
      <c r="C1" s="80" t="s">
        <v>139</v>
      </c>
      <c r="D1" s="80" t="s">
        <v>140</v>
      </c>
      <c r="E1" s="80" t="s">
        <v>141</v>
      </c>
      <c r="F1" s="80" t="s">
        <v>142</v>
      </c>
      <c r="G1" s="80" t="s">
        <v>143</v>
      </c>
      <c r="H1" s="80" t="s">
        <v>143</v>
      </c>
      <c r="I1" s="80" t="s">
        <v>144</v>
      </c>
    </row>
    <row r="2" ht="12.75" customHeight="1">
      <c r="A2" s="84">
        <v>45901.0</v>
      </c>
      <c r="B2" s="85" t="s">
        <v>600</v>
      </c>
      <c r="C2" s="82" t="s">
        <v>537</v>
      </c>
      <c r="D2" s="82" t="s">
        <v>537</v>
      </c>
      <c r="E2" s="85">
        <v>2.0</v>
      </c>
      <c r="G2" s="85">
        <v>13285.31</v>
      </c>
      <c r="H2" s="82">
        <v>13285.310000000027</v>
      </c>
      <c r="I2" s="82">
        <v>-2.7284841053187847E-11</v>
      </c>
    </row>
    <row r="3" ht="12.75" customHeight="1">
      <c r="A3" s="84">
        <v>45901.0</v>
      </c>
      <c r="B3" s="85" t="s">
        <v>601</v>
      </c>
      <c r="C3" s="82" t="s">
        <v>537</v>
      </c>
      <c r="D3" s="82" t="s">
        <v>537</v>
      </c>
      <c r="F3" s="85">
        <v>2.0</v>
      </c>
      <c r="G3" s="85">
        <v>13287.31</v>
      </c>
      <c r="H3" s="82">
        <v>13287.310000000027</v>
      </c>
      <c r="I3" s="82">
        <v>-2.7284841053187847E-11</v>
      </c>
    </row>
    <row r="4" ht="12.75" customHeight="1">
      <c r="A4" s="84">
        <v>45901.0</v>
      </c>
      <c r="B4" s="85" t="s">
        <v>602</v>
      </c>
      <c r="C4" s="82" t="s">
        <v>125</v>
      </c>
      <c r="D4" s="82" t="s">
        <v>603</v>
      </c>
      <c r="E4" s="85">
        <v>89.0</v>
      </c>
      <c r="G4" s="85">
        <v>13198.31</v>
      </c>
      <c r="H4" s="82">
        <v>13198.310000000027</v>
      </c>
      <c r="I4" s="82">
        <v>-2.7284841053187847E-11</v>
      </c>
    </row>
    <row r="5" ht="12.75" customHeight="1">
      <c r="A5" s="84">
        <v>45902.0</v>
      </c>
      <c r="B5" s="85" t="s">
        <v>604</v>
      </c>
      <c r="C5" s="82" t="s">
        <v>118</v>
      </c>
      <c r="E5" s="85">
        <v>2500.0</v>
      </c>
      <c r="G5" s="85">
        <v>10698.31</v>
      </c>
      <c r="H5" s="82">
        <v>10698.310000000027</v>
      </c>
      <c r="I5" s="82">
        <v>-2.7284841053187847E-11</v>
      </c>
    </row>
    <row r="6" ht="12.75" customHeight="1">
      <c r="A6" s="84">
        <v>45902.0</v>
      </c>
      <c r="B6" s="85" t="s">
        <v>605</v>
      </c>
      <c r="C6" s="82" t="s">
        <v>87</v>
      </c>
      <c r="D6" s="82" t="s">
        <v>171</v>
      </c>
      <c r="E6" s="85">
        <v>1000.0</v>
      </c>
      <c r="G6" s="85">
        <v>9698.31</v>
      </c>
      <c r="H6" s="82">
        <v>9698.310000000027</v>
      </c>
      <c r="I6" s="82">
        <v>-2.7284841053187847E-11</v>
      </c>
    </row>
    <row r="7" ht="12.75" customHeight="1">
      <c r="A7" s="84">
        <v>45902.0</v>
      </c>
      <c r="B7" s="85" t="s">
        <v>606</v>
      </c>
      <c r="C7" s="82" t="s">
        <v>118</v>
      </c>
      <c r="E7" s="85">
        <v>650.0</v>
      </c>
      <c r="G7" s="85">
        <v>9048.31</v>
      </c>
      <c r="H7" s="82">
        <v>9048.310000000027</v>
      </c>
      <c r="I7" s="82">
        <v>-2.7284841053187847E-11</v>
      </c>
    </row>
    <row r="8" ht="12.75" customHeight="1">
      <c r="A8" s="84">
        <v>45902.0</v>
      </c>
      <c r="B8" s="85" t="s">
        <v>607</v>
      </c>
      <c r="C8" s="82" t="s">
        <v>118</v>
      </c>
      <c r="E8" s="85">
        <v>1000.0</v>
      </c>
      <c r="G8" s="85">
        <v>8048.31</v>
      </c>
      <c r="H8" s="82">
        <v>8048.310000000027</v>
      </c>
      <c r="I8" s="82">
        <v>-2.637534635141492E-11</v>
      </c>
    </row>
    <row r="9" ht="12.75" customHeight="1">
      <c r="A9" s="84">
        <v>45903.0</v>
      </c>
      <c r="B9" s="85" t="s">
        <v>608</v>
      </c>
      <c r="C9" s="85" t="s">
        <v>146</v>
      </c>
      <c r="D9" s="85" t="s">
        <v>147</v>
      </c>
      <c r="F9" s="85">
        <v>131356.0</v>
      </c>
      <c r="G9" s="85">
        <v>139404.31</v>
      </c>
      <c r="H9" s="82">
        <v>139404.31000000003</v>
      </c>
      <c r="I9" s="82">
        <v>0.0</v>
      </c>
    </row>
    <row r="10" ht="12.75" customHeight="1">
      <c r="A10" s="84">
        <v>45903.0</v>
      </c>
      <c r="B10" s="85" t="s">
        <v>609</v>
      </c>
      <c r="C10" s="82" t="s">
        <v>96</v>
      </c>
      <c r="D10" s="86" t="s">
        <v>175</v>
      </c>
      <c r="E10" s="85">
        <v>135114.0</v>
      </c>
      <c r="G10" s="85">
        <v>4290.31</v>
      </c>
      <c r="H10" s="82">
        <v>4290.310000000027</v>
      </c>
      <c r="I10" s="82">
        <v>-2.637534635141492E-11</v>
      </c>
    </row>
    <row r="11" ht="12.75" customHeight="1">
      <c r="A11" s="84">
        <v>45904.0</v>
      </c>
      <c r="B11" s="85" t="s">
        <v>610</v>
      </c>
      <c r="C11" s="82" t="s">
        <v>118</v>
      </c>
      <c r="E11" s="85">
        <v>1000.0</v>
      </c>
      <c r="G11" s="85">
        <v>3290.31</v>
      </c>
      <c r="H11" s="82">
        <v>3290.310000000027</v>
      </c>
      <c r="I11" s="82">
        <v>-2.6830093702301383E-11</v>
      </c>
    </row>
    <row r="12" ht="12.75" customHeight="1">
      <c r="A12" s="84">
        <v>45904.0</v>
      </c>
      <c r="B12" s="85" t="s">
        <v>611</v>
      </c>
      <c r="C12" s="82" t="s">
        <v>100</v>
      </c>
      <c r="D12" s="82" t="s">
        <v>149</v>
      </c>
      <c r="E12" s="85">
        <v>300.9</v>
      </c>
      <c r="G12" s="85">
        <v>2989.41</v>
      </c>
      <c r="H12" s="82">
        <v>2989.4100000000267</v>
      </c>
      <c r="I12" s="82">
        <v>-2.6830093702301383E-11</v>
      </c>
    </row>
    <row r="13" ht="12.75" customHeight="1">
      <c r="A13" s="84">
        <v>45904.0</v>
      </c>
      <c r="B13" s="85" t="s">
        <v>612</v>
      </c>
      <c r="C13" s="82" t="s">
        <v>108</v>
      </c>
      <c r="D13" s="86" t="s">
        <v>265</v>
      </c>
      <c r="E13" s="85">
        <v>499.91</v>
      </c>
      <c r="G13" s="85">
        <v>2489.5</v>
      </c>
      <c r="H13" s="82">
        <v>2489.500000000027</v>
      </c>
      <c r="I13" s="82">
        <v>-2.6830093702301383E-11</v>
      </c>
    </row>
    <row r="14" ht="12.75" customHeight="1">
      <c r="A14" s="84">
        <v>45906.0</v>
      </c>
      <c r="B14" s="85" t="s">
        <v>613</v>
      </c>
      <c r="C14" s="82" t="s">
        <v>87</v>
      </c>
      <c r="D14" s="82" t="s">
        <v>171</v>
      </c>
      <c r="E14" s="85">
        <v>770.0</v>
      </c>
      <c r="G14" s="85">
        <v>1719.5</v>
      </c>
      <c r="H14" s="82">
        <v>1719.5000000000268</v>
      </c>
      <c r="I14" s="82">
        <v>-2.6830093702301383E-11</v>
      </c>
    </row>
    <row r="15" ht="12.75" customHeight="1">
      <c r="A15" s="84">
        <v>45909.0</v>
      </c>
      <c r="B15" s="85" t="s">
        <v>614</v>
      </c>
      <c r="C15" s="82" t="s">
        <v>108</v>
      </c>
      <c r="D15" s="86" t="s">
        <v>615</v>
      </c>
      <c r="E15" s="85">
        <v>1700.0</v>
      </c>
      <c r="G15" s="85">
        <v>19.5</v>
      </c>
      <c r="H15" s="82">
        <v>19.50000000002683</v>
      </c>
      <c r="I15" s="82">
        <v>-2.6830093702301383E-11</v>
      </c>
    </row>
    <row r="16" ht="12.75" customHeight="1">
      <c r="A16" s="84">
        <v>45909.0</v>
      </c>
      <c r="B16" s="85" t="s">
        <v>616</v>
      </c>
      <c r="C16" s="82" t="s">
        <v>173</v>
      </c>
      <c r="D16" s="82" t="s">
        <v>109</v>
      </c>
      <c r="F16" s="85">
        <v>8676.16</v>
      </c>
      <c r="G16" s="85">
        <v>8695.66</v>
      </c>
      <c r="H16" s="82">
        <v>8695.660000000027</v>
      </c>
      <c r="I16" s="82">
        <v>-2.7284841053187847E-11</v>
      </c>
    </row>
    <row r="17" ht="12.75" customHeight="1">
      <c r="A17" s="84">
        <v>45909.0</v>
      </c>
      <c r="B17" s="85" t="s">
        <v>617</v>
      </c>
      <c r="C17" s="82" t="s">
        <v>81</v>
      </c>
      <c r="D17" s="86" t="s">
        <v>392</v>
      </c>
      <c r="E17" s="85">
        <v>1195.0</v>
      </c>
      <c r="G17" s="85">
        <v>7500.66</v>
      </c>
      <c r="H17" s="82">
        <v>7500.660000000027</v>
      </c>
      <c r="I17" s="82">
        <v>-2.7284841053187847E-11</v>
      </c>
    </row>
    <row r="18" ht="12.75" customHeight="1">
      <c r="A18" s="84">
        <v>45909.0</v>
      </c>
      <c r="B18" s="85" t="s">
        <v>618</v>
      </c>
      <c r="C18" s="82" t="s">
        <v>118</v>
      </c>
      <c r="E18" s="85">
        <v>1500.0</v>
      </c>
      <c r="G18" s="85">
        <v>6000.66</v>
      </c>
      <c r="H18" s="82">
        <v>6000.660000000027</v>
      </c>
      <c r="I18" s="82">
        <v>-2.7284841053187847E-11</v>
      </c>
    </row>
    <row r="19" ht="12.75" customHeight="1">
      <c r="A19" s="84">
        <v>45910.0</v>
      </c>
      <c r="B19" s="86" t="s">
        <v>619</v>
      </c>
      <c r="C19" s="82" t="s">
        <v>81</v>
      </c>
      <c r="D19" s="86" t="s">
        <v>392</v>
      </c>
      <c r="E19" s="85">
        <v>300.0</v>
      </c>
      <c r="G19" s="85">
        <v>5700.66</v>
      </c>
      <c r="H19" s="82">
        <v>5700.660000000027</v>
      </c>
      <c r="I19" s="82">
        <v>-2.7284841053187847E-11</v>
      </c>
    </row>
    <row r="20" ht="12.75" customHeight="1">
      <c r="A20" s="84">
        <v>45910.0</v>
      </c>
      <c r="B20" s="86" t="s">
        <v>620</v>
      </c>
      <c r="C20" s="83" t="s">
        <v>97</v>
      </c>
      <c r="D20" s="83" t="s">
        <v>166</v>
      </c>
      <c r="E20" s="85">
        <v>1917.5</v>
      </c>
      <c r="G20" s="85">
        <v>3783.16</v>
      </c>
      <c r="H20" s="82">
        <v>3783.160000000027</v>
      </c>
      <c r="I20" s="82">
        <v>-2.7284841053187847E-11</v>
      </c>
    </row>
    <row r="21" ht="12.75" customHeight="1">
      <c r="A21" s="84">
        <v>45910.0</v>
      </c>
      <c r="B21" s="85" t="s">
        <v>621</v>
      </c>
      <c r="C21" s="82" t="s">
        <v>118</v>
      </c>
      <c r="D21" s="82"/>
      <c r="E21" s="85">
        <v>250.0</v>
      </c>
      <c r="G21" s="85">
        <v>3533.16</v>
      </c>
      <c r="H21" s="82">
        <v>3533.160000000027</v>
      </c>
      <c r="I21" s="82">
        <v>-2.7284841053187847E-11</v>
      </c>
    </row>
    <row r="22" ht="12.75" customHeight="1">
      <c r="A22" s="84">
        <v>45910.0</v>
      </c>
      <c r="B22" s="85" t="s">
        <v>622</v>
      </c>
      <c r="C22" s="82" t="s">
        <v>87</v>
      </c>
      <c r="D22" s="82" t="s">
        <v>623</v>
      </c>
      <c r="E22" s="85">
        <v>265.0</v>
      </c>
      <c r="G22" s="85">
        <v>3268.16</v>
      </c>
      <c r="H22" s="82">
        <v>3268.160000000027</v>
      </c>
      <c r="I22" s="82">
        <v>-2.7284841053187847E-11</v>
      </c>
    </row>
    <row r="23" ht="12.75" customHeight="1">
      <c r="A23" s="84">
        <v>45910.0</v>
      </c>
      <c r="B23" s="85" t="s">
        <v>624</v>
      </c>
      <c r="C23" s="82" t="s">
        <v>118</v>
      </c>
      <c r="E23" s="85">
        <v>500.0</v>
      </c>
      <c r="G23" s="85">
        <v>2768.16</v>
      </c>
      <c r="H23" s="82">
        <v>2768.160000000027</v>
      </c>
      <c r="I23" s="82">
        <v>-2.7284841053187847E-11</v>
      </c>
    </row>
    <row r="24" ht="12.75" customHeight="1">
      <c r="A24" s="84">
        <v>45910.0</v>
      </c>
      <c r="B24" s="85" t="s">
        <v>625</v>
      </c>
      <c r="C24" s="82" t="s">
        <v>173</v>
      </c>
      <c r="D24" s="86" t="s">
        <v>110</v>
      </c>
      <c r="F24" s="85">
        <v>88491.28</v>
      </c>
      <c r="G24" s="85">
        <v>91259.44</v>
      </c>
      <c r="H24" s="82">
        <v>91259.44000000003</v>
      </c>
      <c r="I24" s="82">
        <v>0.0</v>
      </c>
    </row>
    <row r="25" ht="12.75" customHeight="1">
      <c r="A25" s="84">
        <v>45910.0</v>
      </c>
      <c r="B25" s="85" t="s">
        <v>626</v>
      </c>
      <c r="C25" s="82" t="s">
        <v>96</v>
      </c>
      <c r="D25" s="86" t="s">
        <v>175</v>
      </c>
      <c r="E25" s="85">
        <v>13497.0</v>
      </c>
      <c r="G25" s="85">
        <v>77762.44</v>
      </c>
      <c r="H25" s="82">
        <v>77762.44000000003</v>
      </c>
      <c r="I25" s="82">
        <v>0.0</v>
      </c>
    </row>
    <row r="26" ht="12.75" customHeight="1">
      <c r="A26" s="84">
        <v>45910.0</v>
      </c>
      <c r="B26" s="85" t="s">
        <v>627</v>
      </c>
      <c r="C26" s="82" t="s">
        <v>91</v>
      </c>
      <c r="D26" s="82" t="s">
        <v>162</v>
      </c>
      <c r="E26" s="85">
        <v>18875.0</v>
      </c>
      <c r="G26" s="85">
        <v>58887.44</v>
      </c>
      <c r="H26" s="82">
        <v>58887.44000000003</v>
      </c>
      <c r="I26" s="82">
        <v>0.0</v>
      </c>
    </row>
    <row r="27" ht="12.75" customHeight="1">
      <c r="A27" s="84">
        <v>45910.0</v>
      </c>
      <c r="B27" s="85" t="s">
        <v>628</v>
      </c>
      <c r="C27" s="82" t="s">
        <v>123</v>
      </c>
      <c r="D27" s="82" t="s">
        <v>399</v>
      </c>
      <c r="E27" s="85">
        <v>8000.0</v>
      </c>
      <c r="G27" s="85">
        <v>50887.44</v>
      </c>
      <c r="H27" s="82">
        <v>50887.44000000003</v>
      </c>
      <c r="I27" s="82">
        <v>0.0</v>
      </c>
    </row>
    <row r="28" ht="12.75" customHeight="1">
      <c r="A28" s="84">
        <v>45911.0</v>
      </c>
      <c r="B28" s="85" t="s">
        <v>629</v>
      </c>
      <c r="C28" s="82" t="s">
        <v>118</v>
      </c>
      <c r="E28" s="85">
        <v>1000.0</v>
      </c>
      <c r="G28" s="85">
        <v>49887.44</v>
      </c>
      <c r="H28" s="82">
        <v>49887.44000000003</v>
      </c>
      <c r="I28" s="82">
        <v>0.0</v>
      </c>
    </row>
    <row r="29" ht="12.75" customHeight="1">
      <c r="A29" s="84">
        <v>45911.0</v>
      </c>
      <c r="B29" s="85" t="s">
        <v>630</v>
      </c>
      <c r="C29" s="82" t="s">
        <v>87</v>
      </c>
      <c r="D29" s="82" t="s">
        <v>155</v>
      </c>
      <c r="E29" s="85">
        <v>1358.0</v>
      </c>
      <c r="G29" s="85">
        <v>48529.44</v>
      </c>
      <c r="H29" s="82">
        <v>48529.44000000003</v>
      </c>
      <c r="I29" s="82">
        <v>0.0</v>
      </c>
    </row>
    <row r="30" ht="12.75" customHeight="1">
      <c r="A30" s="84">
        <v>45911.0</v>
      </c>
      <c r="B30" s="86" t="s">
        <v>631</v>
      </c>
      <c r="C30" s="82" t="s">
        <v>91</v>
      </c>
      <c r="D30" s="82" t="s">
        <v>260</v>
      </c>
      <c r="E30" s="85">
        <v>18875.0</v>
      </c>
      <c r="G30" s="85">
        <v>29654.44</v>
      </c>
      <c r="H30" s="82">
        <v>29654.44000000003</v>
      </c>
      <c r="I30" s="82">
        <v>-3.2741809263825417E-11</v>
      </c>
    </row>
    <row r="31" ht="12.75" customHeight="1">
      <c r="A31" s="84">
        <v>45911.0</v>
      </c>
      <c r="B31" s="85" t="s">
        <v>632</v>
      </c>
      <c r="C31" s="82" t="s">
        <v>100</v>
      </c>
      <c r="D31" s="85" t="s">
        <v>149</v>
      </c>
      <c r="E31" s="85">
        <v>320.9</v>
      </c>
      <c r="G31" s="85">
        <v>29333.54</v>
      </c>
      <c r="H31" s="82">
        <v>29333.54000000003</v>
      </c>
      <c r="I31" s="82">
        <v>-2.9103830456733704E-11</v>
      </c>
    </row>
    <row r="32" ht="12.75" customHeight="1">
      <c r="A32" s="84">
        <v>45911.0</v>
      </c>
      <c r="B32" s="85" t="s">
        <v>633</v>
      </c>
      <c r="C32" s="82" t="s">
        <v>95</v>
      </c>
      <c r="D32" s="82" t="s">
        <v>232</v>
      </c>
      <c r="E32" s="85">
        <v>27544.0</v>
      </c>
      <c r="G32" s="85">
        <v>1789.54</v>
      </c>
      <c r="H32" s="82">
        <v>1789.54000000003</v>
      </c>
      <c r="I32" s="82">
        <v>-3.001332515850663E-11</v>
      </c>
    </row>
    <row r="33" ht="12.75" customHeight="1">
      <c r="A33" s="84">
        <v>45912.0</v>
      </c>
      <c r="B33" s="85" t="s">
        <v>634</v>
      </c>
      <c r="C33" s="82" t="s">
        <v>120</v>
      </c>
      <c r="D33" s="82" t="s">
        <v>197</v>
      </c>
      <c r="F33" s="85">
        <v>50000.0</v>
      </c>
      <c r="G33" s="85">
        <v>51789.54</v>
      </c>
      <c r="H33" s="82">
        <v>51789.54000000003</v>
      </c>
      <c r="I33" s="82">
        <v>0.0</v>
      </c>
    </row>
    <row r="34" ht="12.75" customHeight="1">
      <c r="A34" s="84">
        <v>45913.0</v>
      </c>
      <c r="B34" s="85" t="s">
        <v>635</v>
      </c>
      <c r="C34" s="82" t="s">
        <v>124</v>
      </c>
      <c r="D34" s="82" t="s">
        <v>636</v>
      </c>
      <c r="E34" s="85">
        <v>4727.0</v>
      </c>
      <c r="G34" s="85">
        <v>47062.54</v>
      </c>
      <c r="H34" s="82">
        <v>47062.54000000003</v>
      </c>
      <c r="I34" s="82">
        <v>0.0</v>
      </c>
    </row>
    <row r="35" ht="12.75" customHeight="1">
      <c r="A35" s="84">
        <v>45913.0</v>
      </c>
      <c r="B35" s="85" t="s">
        <v>637</v>
      </c>
      <c r="C35" s="83" t="s">
        <v>92</v>
      </c>
      <c r="D35" s="83" t="s">
        <v>638</v>
      </c>
      <c r="E35" s="85">
        <v>10000.0</v>
      </c>
      <c r="G35" s="85">
        <v>37062.54</v>
      </c>
      <c r="H35" s="82">
        <v>37062.54000000003</v>
      </c>
      <c r="I35" s="82">
        <v>0.0</v>
      </c>
    </row>
    <row r="36" ht="12.75" customHeight="1">
      <c r="A36" s="84">
        <v>45913.0</v>
      </c>
      <c r="B36" s="85" t="s">
        <v>639</v>
      </c>
      <c r="C36" s="82" t="s">
        <v>86</v>
      </c>
      <c r="D36" s="82" t="s">
        <v>640</v>
      </c>
      <c r="E36" s="85">
        <v>28974.0</v>
      </c>
      <c r="G36" s="85">
        <v>8088.54</v>
      </c>
      <c r="H36" s="82">
        <v>8088.54000000003</v>
      </c>
      <c r="I36" s="82">
        <v>-3.001332515850663E-11</v>
      </c>
    </row>
    <row r="37" ht="12.75" customHeight="1">
      <c r="A37" s="84">
        <v>45913.0</v>
      </c>
      <c r="B37" s="85" t="s">
        <v>641</v>
      </c>
      <c r="C37" s="83" t="s">
        <v>106</v>
      </c>
      <c r="D37" s="83" t="s">
        <v>274</v>
      </c>
      <c r="E37" s="85">
        <v>4130.0</v>
      </c>
      <c r="G37" s="85">
        <v>3958.54</v>
      </c>
      <c r="H37" s="82">
        <v>3958.54000000003</v>
      </c>
      <c r="I37" s="82">
        <v>-3.001332515850663E-11</v>
      </c>
    </row>
    <row r="38" ht="12.75" customHeight="1">
      <c r="A38" s="84">
        <v>45913.0</v>
      </c>
      <c r="B38" s="85" t="s">
        <v>642</v>
      </c>
      <c r="C38" s="82" t="s">
        <v>173</v>
      </c>
      <c r="D38" s="82" t="s">
        <v>643</v>
      </c>
      <c r="F38" s="85">
        <v>59000.0</v>
      </c>
      <c r="G38" s="85">
        <v>62958.54</v>
      </c>
      <c r="H38" s="82">
        <v>62958.54000000003</v>
      </c>
      <c r="I38" s="82">
        <v>0.0</v>
      </c>
    </row>
    <row r="39" ht="12.75" customHeight="1">
      <c r="A39" s="84">
        <v>45914.0</v>
      </c>
      <c r="B39" s="85" t="s">
        <v>644</v>
      </c>
      <c r="C39" s="83" t="s">
        <v>118</v>
      </c>
      <c r="E39" s="85">
        <v>50.0</v>
      </c>
      <c r="G39" s="85">
        <v>62908.54</v>
      </c>
      <c r="H39" s="82">
        <v>62908.54000000003</v>
      </c>
      <c r="I39" s="82">
        <v>0.0</v>
      </c>
    </row>
    <row r="40" ht="12.75" customHeight="1">
      <c r="A40" s="84">
        <v>45914.0</v>
      </c>
      <c r="B40" s="85" t="s">
        <v>645</v>
      </c>
      <c r="C40" s="82" t="s">
        <v>125</v>
      </c>
      <c r="D40" s="86" t="s">
        <v>646</v>
      </c>
      <c r="E40" s="85">
        <v>652.0</v>
      </c>
      <c r="G40" s="85">
        <v>62256.54</v>
      </c>
      <c r="H40" s="82">
        <v>62256.54000000003</v>
      </c>
      <c r="I40" s="82">
        <v>0.0</v>
      </c>
    </row>
    <row r="41" ht="12.75" customHeight="1">
      <c r="A41" s="84">
        <v>45914.0</v>
      </c>
      <c r="B41" s="85" t="s">
        <v>647</v>
      </c>
      <c r="C41" s="83" t="s">
        <v>118</v>
      </c>
      <c r="E41" s="85">
        <v>150.0</v>
      </c>
      <c r="G41" s="85">
        <v>62106.54</v>
      </c>
      <c r="H41" s="82">
        <v>62106.54000000003</v>
      </c>
      <c r="I41" s="82">
        <v>0.0</v>
      </c>
    </row>
    <row r="42" ht="12.75" customHeight="1">
      <c r="A42" s="84">
        <v>45914.0</v>
      </c>
      <c r="B42" s="85" t="s">
        <v>648</v>
      </c>
      <c r="C42" s="82" t="s">
        <v>87</v>
      </c>
      <c r="D42" s="82" t="s">
        <v>195</v>
      </c>
      <c r="E42" s="85">
        <v>320.0</v>
      </c>
      <c r="G42" s="85">
        <v>61786.54</v>
      </c>
      <c r="H42" s="82">
        <v>61786.54000000003</v>
      </c>
      <c r="I42" s="82">
        <v>0.0</v>
      </c>
    </row>
    <row r="43" ht="12.75" customHeight="1">
      <c r="A43" s="84">
        <v>45915.0</v>
      </c>
      <c r="B43" s="85" t="s">
        <v>649</v>
      </c>
      <c r="C43" s="83" t="s">
        <v>89</v>
      </c>
      <c r="D43" s="83" t="s">
        <v>234</v>
      </c>
      <c r="E43" s="85">
        <v>25000.0</v>
      </c>
      <c r="G43" s="85">
        <v>36786.54</v>
      </c>
      <c r="H43" s="82">
        <v>36786.54000000003</v>
      </c>
      <c r="I43" s="82">
        <v>0.0</v>
      </c>
    </row>
    <row r="44" ht="12.75" customHeight="1">
      <c r="A44" s="84">
        <v>45915.0</v>
      </c>
      <c r="B44" s="86" t="s">
        <v>650</v>
      </c>
      <c r="C44" s="82" t="s">
        <v>88</v>
      </c>
      <c r="D44" s="82" t="s">
        <v>205</v>
      </c>
      <c r="E44" s="85">
        <v>1650.82</v>
      </c>
      <c r="G44" s="85">
        <v>35135.72</v>
      </c>
      <c r="H44" s="82">
        <v>35135.72000000003</v>
      </c>
      <c r="I44" s="82">
        <v>0.0</v>
      </c>
    </row>
    <row r="45" ht="12.75" customHeight="1">
      <c r="A45" s="84">
        <v>45915.0</v>
      </c>
      <c r="B45" s="86" t="s">
        <v>651</v>
      </c>
      <c r="C45" s="82" t="s">
        <v>88</v>
      </c>
      <c r="D45" s="82" t="s">
        <v>205</v>
      </c>
      <c r="E45" s="85">
        <v>1712.72</v>
      </c>
      <c r="G45" s="85">
        <v>33423.0</v>
      </c>
      <c r="H45" s="82">
        <v>33423.00000000003</v>
      </c>
      <c r="I45" s="82">
        <v>0.0</v>
      </c>
    </row>
    <row r="46" ht="12.75" customHeight="1">
      <c r="A46" s="84">
        <v>45915.0</v>
      </c>
      <c r="B46" s="86" t="s">
        <v>652</v>
      </c>
      <c r="C46" s="82" t="s">
        <v>90</v>
      </c>
      <c r="D46" s="86" t="s">
        <v>653</v>
      </c>
      <c r="E46" s="85">
        <v>100.0</v>
      </c>
      <c r="G46" s="85">
        <v>33323.0</v>
      </c>
      <c r="H46" s="82">
        <v>33323.00000000003</v>
      </c>
      <c r="I46" s="82">
        <v>0.0</v>
      </c>
    </row>
    <row r="47" ht="12.75" customHeight="1">
      <c r="A47" s="84">
        <v>45915.0</v>
      </c>
      <c r="B47" s="85" t="s">
        <v>654</v>
      </c>
      <c r="C47" s="82" t="s">
        <v>118</v>
      </c>
      <c r="E47" s="85">
        <v>1000.0</v>
      </c>
      <c r="G47" s="85">
        <v>32323.0</v>
      </c>
      <c r="H47" s="82">
        <v>32323.00000000003</v>
      </c>
      <c r="I47" s="82">
        <v>-2.9103830456733704E-11</v>
      </c>
    </row>
    <row r="48" ht="12.75" customHeight="1">
      <c r="A48" s="84">
        <v>45916.0</v>
      </c>
      <c r="B48" s="85" t="s">
        <v>655</v>
      </c>
      <c r="C48" s="82" t="s">
        <v>146</v>
      </c>
      <c r="D48" s="86" t="s">
        <v>147</v>
      </c>
      <c r="F48" s="85">
        <v>131320.0</v>
      </c>
      <c r="G48" s="85">
        <v>163643.0</v>
      </c>
      <c r="H48" s="82">
        <v>163643.00000000003</v>
      </c>
      <c r="I48" s="82">
        <v>0.0</v>
      </c>
    </row>
    <row r="49" ht="12.75" customHeight="1">
      <c r="A49" s="84">
        <v>45916.0</v>
      </c>
      <c r="B49" s="85" t="s">
        <v>656</v>
      </c>
      <c r="C49" s="82" t="s">
        <v>100</v>
      </c>
      <c r="D49" s="82" t="s">
        <v>149</v>
      </c>
      <c r="E49" s="85">
        <v>290.9</v>
      </c>
      <c r="G49" s="85">
        <v>163352.1</v>
      </c>
      <c r="H49" s="82">
        <v>163352.10000000003</v>
      </c>
      <c r="I49" s="82">
        <v>0.0</v>
      </c>
    </row>
    <row r="50" ht="12.75" customHeight="1">
      <c r="A50" s="84">
        <v>45916.0</v>
      </c>
      <c r="B50" s="85" t="s">
        <v>657</v>
      </c>
      <c r="C50" s="82" t="s">
        <v>96</v>
      </c>
      <c r="D50" s="86" t="s">
        <v>175</v>
      </c>
      <c r="E50" s="85">
        <v>8009.0</v>
      </c>
      <c r="G50" s="85">
        <v>155343.1</v>
      </c>
      <c r="H50" s="82">
        <v>155343.10000000003</v>
      </c>
      <c r="I50" s="82">
        <v>0.0</v>
      </c>
    </row>
    <row r="51" ht="12.75" customHeight="1">
      <c r="A51" s="84">
        <v>45916.0</v>
      </c>
      <c r="B51" s="85" t="s">
        <v>658</v>
      </c>
      <c r="C51" s="82" t="s">
        <v>96</v>
      </c>
      <c r="D51" s="86" t="s">
        <v>175</v>
      </c>
      <c r="E51" s="85">
        <v>7638.0</v>
      </c>
      <c r="G51" s="85">
        <v>147705.1</v>
      </c>
      <c r="H51" s="82">
        <v>147705.10000000003</v>
      </c>
      <c r="I51" s="82">
        <v>0.0</v>
      </c>
    </row>
    <row r="52" ht="12.75" customHeight="1">
      <c r="A52" s="84">
        <v>45916.0</v>
      </c>
      <c r="B52" s="85" t="s">
        <v>659</v>
      </c>
      <c r="C52" s="82" t="s">
        <v>98</v>
      </c>
      <c r="D52" s="86" t="s">
        <v>183</v>
      </c>
      <c r="E52" s="85">
        <v>6391.0</v>
      </c>
      <c r="G52" s="85">
        <v>141314.1</v>
      </c>
      <c r="H52" s="82">
        <v>141314.10000000003</v>
      </c>
      <c r="I52" s="82">
        <v>0.0</v>
      </c>
    </row>
    <row r="53" ht="12.75" customHeight="1">
      <c r="A53" s="84">
        <v>45916.0</v>
      </c>
      <c r="B53" s="85" t="s">
        <v>660</v>
      </c>
      <c r="C53" s="82" t="s">
        <v>98</v>
      </c>
      <c r="D53" s="82" t="s">
        <v>343</v>
      </c>
      <c r="E53" s="85">
        <v>6543.0</v>
      </c>
      <c r="G53" s="85">
        <v>134771.1</v>
      </c>
      <c r="H53" s="82">
        <v>134771.10000000003</v>
      </c>
      <c r="I53" s="82">
        <v>0.0</v>
      </c>
    </row>
    <row r="54" ht="12.75" customHeight="1">
      <c r="A54" s="84">
        <v>45916.0</v>
      </c>
      <c r="B54" s="85" t="s">
        <v>661</v>
      </c>
      <c r="C54" s="82" t="s">
        <v>98</v>
      </c>
      <c r="D54" s="86" t="s">
        <v>662</v>
      </c>
      <c r="E54" s="85">
        <v>6391.0</v>
      </c>
      <c r="G54" s="85">
        <v>128380.1</v>
      </c>
      <c r="H54" s="82">
        <v>128380.10000000003</v>
      </c>
      <c r="I54" s="82">
        <v>0.0</v>
      </c>
    </row>
    <row r="55" ht="12.75" customHeight="1">
      <c r="A55" s="84">
        <v>45916.0</v>
      </c>
      <c r="B55" s="85" t="s">
        <v>663</v>
      </c>
      <c r="C55" s="82" t="s">
        <v>98</v>
      </c>
      <c r="D55" s="86" t="s">
        <v>664</v>
      </c>
      <c r="E55" s="85">
        <v>7000.0</v>
      </c>
      <c r="G55" s="85">
        <v>121380.1</v>
      </c>
      <c r="H55" s="82">
        <v>121380.10000000003</v>
      </c>
      <c r="I55" s="82">
        <v>0.0</v>
      </c>
    </row>
    <row r="56" ht="12.75" customHeight="1">
      <c r="A56" s="84">
        <v>45916.0</v>
      </c>
      <c r="B56" s="85" t="s">
        <v>665</v>
      </c>
      <c r="C56" s="82" t="s">
        <v>98</v>
      </c>
      <c r="D56" s="86" t="s">
        <v>666</v>
      </c>
      <c r="E56" s="85">
        <v>6087.0</v>
      </c>
      <c r="G56" s="85">
        <v>115293.1</v>
      </c>
      <c r="H56" s="82">
        <v>115293.10000000003</v>
      </c>
      <c r="I56" s="82">
        <v>0.0</v>
      </c>
    </row>
    <row r="57" ht="12.75" customHeight="1">
      <c r="A57" s="84">
        <v>45916.0</v>
      </c>
      <c r="B57" s="85" t="s">
        <v>667</v>
      </c>
      <c r="C57" s="82" t="s">
        <v>98</v>
      </c>
      <c r="D57" s="86" t="s">
        <v>668</v>
      </c>
      <c r="E57" s="85">
        <v>7000.0</v>
      </c>
      <c r="G57" s="85">
        <v>108293.1</v>
      </c>
      <c r="H57" s="82">
        <v>108293.10000000003</v>
      </c>
      <c r="I57" s="82">
        <v>0.0</v>
      </c>
    </row>
    <row r="58" ht="12.75" customHeight="1">
      <c r="A58" s="84">
        <v>45916.0</v>
      </c>
      <c r="B58" s="85" t="s">
        <v>669</v>
      </c>
      <c r="C58" s="82" t="s">
        <v>98</v>
      </c>
      <c r="D58" s="86" t="s">
        <v>465</v>
      </c>
      <c r="E58" s="85">
        <v>6720.0</v>
      </c>
      <c r="G58" s="85">
        <v>101573.1</v>
      </c>
      <c r="H58" s="82">
        <v>101573.10000000003</v>
      </c>
      <c r="I58" s="82">
        <v>0.0</v>
      </c>
    </row>
    <row r="59" ht="12.75" customHeight="1">
      <c r="A59" s="84">
        <v>45916.0</v>
      </c>
      <c r="B59" s="85" t="s">
        <v>670</v>
      </c>
      <c r="C59" s="82" t="s">
        <v>96</v>
      </c>
      <c r="D59" s="86" t="s">
        <v>175</v>
      </c>
      <c r="E59" s="85">
        <v>70786.0</v>
      </c>
      <c r="G59" s="85">
        <v>30787.1</v>
      </c>
      <c r="H59" s="82">
        <v>30787.100000000035</v>
      </c>
      <c r="I59" s="82">
        <v>-3.637978807091713E-11</v>
      </c>
    </row>
    <row r="60" ht="12.75" customHeight="1">
      <c r="A60" s="84">
        <v>45916.0</v>
      </c>
      <c r="B60" s="85" t="s">
        <v>671</v>
      </c>
      <c r="C60" s="82" t="s">
        <v>98</v>
      </c>
      <c r="D60" s="86" t="s">
        <v>335</v>
      </c>
      <c r="E60" s="85">
        <v>6391.0</v>
      </c>
      <c r="G60" s="85">
        <v>24396.1</v>
      </c>
      <c r="H60" s="82">
        <v>24396.100000000035</v>
      </c>
      <c r="I60" s="82">
        <v>-3.637978807091713E-11</v>
      </c>
    </row>
    <row r="61" ht="12.75" customHeight="1">
      <c r="A61" s="84">
        <v>45916.0</v>
      </c>
      <c r="B61" s="85" t="s">
        <v>506</v>
      </c>
      <c r="C61" s="82" t="s">
        <v>173</v>
      </c>
      <c r="D61" s="86" t="s">
        <v>129</v>
      </c>
      <c r="F61" s="85">
        <v>186000.0</v>
      </c>
      <c r="G61" s="85">
        <v>210396.1</v>
      </c>
      <c r="H61" s="82">
        <v>210396.10000000003</v>
      </c>
      <c r="I61" s="82">
        <v>0.0</v>
      </c>
    </row>
    <row r="62" ht="12.75" customHeight="1">
      <c r="A62" s="84">
        <v>45916.0</v>
      </c>
      <c r="B62" s="85" t="s">
        <v>672</v>
      </c>
      <c r="C62" s="82" t="s">
        <v>96</v>
      </c>
      <c r="D62" s="86" t="s">
        <v>175</v>
      </c>
      <c r="E62" s="85">
        <v>47753.0</v>
      </c>
      <c r="G62" s="85">
        <v>162643.1</v>
      </c>
      <c r="H62" s="82">
        <v>162643.10000000003</v>
      </c>
      <c r="I62" s="82">
        <v>0.0</v>
      </c>
    </row>
    <row r="63" ht="12.75" customHeight="1">
      <c r="A63" s="84">
        <v>45916.0</v>
      </c>
      <c r="B63" s="85" t="s">
        <v>673</v>
      </c>
      <c r="C63" s="82" t="s">
        <v>96</v>
      </c>
      <c r="D63" s="86" t="s">
        <v>175</v>
      </c>
      <c r="E63" s="85">
        <v>7824.0</v>
      </c>
      <c r="G63" s="85">
        <v>154819.1</v>
      </c>
      <c r="H63" s="82">
        <v>154819.10000000003</v>
      </c>
      <c r="I63" s="82">
        <v>0.0</v>
      </c>
    </row>
    <row r="64" ht="12.75" customHeight="1">
      <c r="A64" s="84">
        <v>45916.0</v>
      </c>
      <c r="B64" s="85" t="s">
        <v>674</v>
      </c>
      <c r="C64" s="82" t="s">
        <v>98</v>
      </c>
      <c r="D64" s="82" t="s">
        <v>333</v>
      </c>
      <c r="E64" s="85">
        <v>9565.0</v>
      </c>
      <c r="G64" s="85">
        <v>145254.1</v>
      </c>
      <c r="H64" s="82">
        <v>145254.10000000003</v>
      </c>
      <c r="I64" s="82">
        <v>0.0</v>
      </c>
    </row>
    <row r="65" ht="12.75" customHeight="1">
      <c r="A65" s="84">
        <v>45916.0</v>
      </c>
      <c r="B65" s="85" t="s">
        <v>675</v>
      </c>
      <c r="C65" s="82" t="s">
        <v>98</v>
      </c>
      <c r="D65" s="86" t="s">
        <v>676</v>
      </c>
      <c r="E65" s="85">
        <v>2130.0</v>
      </c>
      <c r="G65" s="85">
        <v>143124.1</v>
      </c>
      <c r="H65" s="82">
        <v>143124.10000000003</v>
      </c>
      <c r="I65" s="82">
        <v>0.0</v>
      </c>
    </row>
    <row r="66" ht="12.75" customHeight="1">
      <c r="A66" s="84">
        <v>45916.0</v>
      </c>
      <c r="B66" s="85" t="s">
        <v>677</v>
      </c>
      <c r="C66" s="82" t="s">
        <v>96</v>
      </c>
      <c r="D66" s="86" t="s">
        <v>175</v>
      </c>
      <c r="E66" s="85">
        <v>8009.0</v>
      </c>
      <c r="G66" s="85">
        <v>135115.1</v>
      </c>
      <c r="H66" s="82">
        <v>135115.10000000003</v>
      </c>
      <c r="I66" s="82">
        <v>0.0</v>
      </c>
    </row>
    <row r="67" ht="12.75" customHeight="1">
      <c r="A67" s="84">
        <v>45916.0</v>
      </c>
      <c r="B67" s="85" t="s">
        <v>678</v>
      </c>
      <c r="C67" s="82" t="s">
        <v>122</v>
      </c>
      <c r="D67" s="86" t="s">
        <v>679</v>
      </c>
      <c r="E67" s="85">
        <v>20000.0</v>
      </c>
      <c r="G67" s="85">
        <v>115115.1</v>
      </c>
      <c r="H67" s="82">
        <v>115115.10000000003</v>
      </c>
      <c r="I67" s="82">
        <v>0.0</v>
      </c>
    </row>
    <row r="68" ht="12.75" customHeight="1">
      <c r="A68" s="84">
        <v>45916.0</v>
      </c>
      <c r="B68" s="85" t="s">
        <v>680</v>
      </c>
      <c r="C68" s="82" t="s">
        <v>122</v>
      </c>
      <c r="D68" s="86" t="s">
        <v>679</v>
      </c>
      <c r="E68" s="85">
        <v>20000.0</v>
      </c>
      <c r="G68" s="85">
        <v>95115.1</v>
      </c>
      <c r="H68" s="82">
        <v>95115.10000000003</v>
      </c>
      <c r="I68" s="82">
        <v>0.0</v>
      </c>
    </row>
    <row r="69" ht="12.75" customHeight="1">
      <c r="A69" s="84">
        <v>45916.0</v>
      </c>
      <c r="B69" s="85" t="s">
        <v>680</v>
      </c>
      <c r="C69" s="82" t="s">
        <v>122</v>
      </c>
      <c r="D69" s="86" t="s">
        <v>679</v>
      </c>
      <c r="E69" s="85">
        <v>20000.0</v>
      </c>
      <c r="G69" s="85">
        <v>75115.1</v>
      </c>
      <c r="H69" s="82">
        <v>75115.10000000003</v>
      </c>
      <c r="I69" s="82">
        <v>0.0</v>
      </c>
    </row>
    <row r="70" ht="12.75" customHeight="1">
      <c r="A70" s="84">
        <v>45916.0</v>
      </c>
      <c r="B70" s="85" t="s">
        <v>680</v>
      </c>
      <c r="C70" s="82" t="s">
        <v>122</v>
      </c>
      <c r="D70" s="86" t="s">
        <v>679</v>
      </c>
      <c r="E70" s="85">
        <v>20000.0</v>
      </c>
      <c r="G70" s="85">
        <v>55115.1</v>
      </c>
      <c r="H70" s="82">
        <v>55115.100000000035</v>
      </c>
      <c r="I70" s="82">
        <v>0.0</v>
      </c>
    </row>
    <row r="71" ht="12.75" customHeight="1">
      <c r="A71" s="84">
        <v>45916.0</v>
      </c>
      <c r="B71" s="85" t="s">
        <v>680</v>
      </c>
      <c r="C71" s="82" t="s">
        <v>122</v>
      </c>
      <c r="D71" s="86" t="s">
        <v>679</v>
      </c>
      <c r="E71" s="85">
        <v>5000.0</v>
      </c>
      <c r="G71" s="85">
        <v>50115.1</v>
      </c>
      <c r="H71" s="82">
        <v>50115.100000000035</v>
      </c>
      <c r="I71" s="82">
        <v>0.0</v>
      </c>
    </row>
    <row r="72" ht="12.75" customHeight="1">
      <c r="A72" s="84">
        <v>45917.0</v>
      </c>
      <c r="B72" s="85" t="s">
        <v>681</v>
      </c>
      <c r="C72" s="82" t="s">
        <v>118</v>
      </c>
      <c r="E72" s="85">
        <v>1380.0</v>
      </c>
      <c r="G72" s="85">
        <v>48735.1</v>
      </c>
      <c r="H72" s="82">
        <v>48735.100000000035</v>
      </c>
      <c r="I72" s="82">
        <v>0.0</v>
      </c>
    </row>
    <row r="73" ht="12.75" customHeight="1">
      <c r="A73" s="84">
        <v>45918.0</v>
      </c>
      <c r="B73" s="86" t="s">
        <v>682</v>
      </c>
      <c r="C73" s="82" t="s">
        <v>98</v>
      </c>
      <c r="D73" s="86" t="s">
        <v>683</v>
      </c>
      <c r="E73" s="85">
        <v>1946.0</v>
      </c>
      <c r="G73" s="85">
        <v>46789.1</v>
      </c>
      <c r="H73" s="82">
        <v>46789.100000000035</v>
      </c>
      <c r="I73" s="82">
        <v>0.0</v>
      </c>
    </row>
    <row r="74" ht="12.75" customHeight="1">
      <c r="A74" s="84">
        <v>45918.0</v>
      </c>
      <c r="B74" s="85" t="s">
        <v>684</v>
      </c>
      <c r="C74" s="82" t="s">
        <v>98</v>
      </c>
      <c r="D74" s="86" t="s">
        <v>685</v>
      </c>
      <c r="E74" s="85">
        <v>200.0</v>
      </c>
      <c r="G74" s="85">
        <v>46589.1</v>
      </c>
      <c r="H74" s="82">
        <v>46589.100000000035</v>
      </c>
      <c r="I74" s="82">
        <v>0.0</v>
      </c>
    </row>
    <row r="75" ht="12.75" customHeight="1">
      <c r="A75" s="84">
        <v>45918.0</v>
      </c>
      <c r="B75" s="85" t="s">
        <v>686</v>
      </c>
      <c r="C75" s="82" t="s">
        <v>98</v>
      </c>
      <c r="D75" s="86" t="s">
        <v>177</v>
      </c>
      <c r="E75" s="85">
        <v>3478.0</v>
      </c>
      <c r="G75" s="85">
        <v>43111.1</v>
      </c>
      <c r="H75" s="82">
        <v>43111.100000000035</v>
      </c>
      <c r="I75" s="82">
        <v>0.0</v>
      </c>
    </row>
    <row r="76" ht="12.75" customHeight="1">
      <c r="A76" s="84">
        <v>45918.0</v>
      </c>
      <c r="B76" s="85" t="s">
        <v>687</v>
      </c>
      <c r="C76" s="82" t="s">
        <v>118</v>
      </c>
      <c r="E76" s="85">
        <v>649.0</v>
      </c>
      <c r="G76" s="85">
        <v>42462.1</v>
      </c>
      <c r="H76" s="82">
        <v>42462.100000000035</v>
      </c>
      <c r="I76" s="82">
        <v>0.0</v>
      </c>
    </row>
    <row r="77" ht="12.75" customHeight="1">
      <c r="A77" s="84">
        <v>45918.0</v>
      </c>
      <c r="B77" s="85" t="s">
        <v>688</v>
      </c>
      <c r="C77" s="82" t="s">
        <v>87</v>
      </c>
      <c r="D77" s="82" t="s">
        <v>171</v>
      </c>
      <c r="E77" s="85">
        <v>780.0</v>
      </c>
      <c r="G77" s="85">
        <v>41682.1</v>
      </c>
      <c r="H77" s="82">
        <v>41682.100000000035</v>
      </c>
      <c r="I77" s="82">
        <v>0.0</v>
      </c>
    </row>
    <row r="78" ht="12.75" customHeight="1">
      <c r="A78" s="84">
        <v>45919.0</v>
      </c>
      <c r="B78" s="85" t="s">
        <v>689</v>
      </c>
      <c r="C78" s="82" t="s">
        <v>242</v>
      </c>
      <c r="D78" s="82" t="s">
        <v>690</v>
      </c>
      <c r="E78" s="85">
        <v>5400.0</v>
      </c>
      <c r="G78" s="85">
        <v>36282.1</v>
      </c>
      <c r="H78" s="82">
        <v>36282.100000000035</v>
      </c>
      <c r="I78" s="82">
        <v>0.0</v>
      </c>
    </row>
    <row r="79" ht="12.75" customHeight="1">
      <c r="A79" s="84">
        <v>45919.0</v>
      </c>
      <c r="B79" s="85" t="s">
        <v>691</v>
      </c>
      <c r="C79" s="83" t="s">
        <v>89</v>
      </c>
      <c r="D79" s="83" t="s">
        <v>234</v>
      </c>
      <c r="E79" s="85">
        <v>5545.0</v>
      </c>
      <c r="G79" s="85">
        <v>30737.1</v>
      </c>
      <c r="H79" s="82">
        <v>30737.100000000035</v>
      </c>
      <c r="I79" s="82">
        <v>-3.637978807091713E-11</v>
      </c>
    </row>
    <row r="80" ht="12.75" customHeight="1">
      <c r="A80" s="84">
        <v>45920.0</v>
      </c>
      <c r="B80" s="85" t="s">
        <v>692</v>
      </c>
      <c r="C80" s="82" t="s">
        <v>125</v>
      </c>
      <c r="D80" s="82" t="s">
        <v>646</v>
      </c>
      <c r="E80" s="85">
        <v>291.0</v>
      </c>
      <c r="G80" s="85">
        <v>30446.1</v>
      </c>
      <c r="H80" s="82">
        <v>30446.100000000035</v>
      </c>
      <c r="I80" s="82">
        <v>-3.637978807091713E-11</v>
      </c>
    </row>
    <row r="81" ht="12.75" customHeight="1">
      <c r="A81" s="84">
        <v>45920.0</v>
      </c>
      <c r="B81" s="85" t="s">
        <v>693</v>
      </c>
      <c r="C81" s="83" t="s">
        <v>92</v>
      </c>
      <c r="D81" s="83" t="s">
        <v>236</v>
      </c>
      <c r="E81" s="85">
        <v>3308.0</v>
      </c>
      <c r="G81" s="85">
        <v>27138.1</v>
      </c>
      <c r="H81" s="82">
        <v>27138.100000000035</v>
      </c>
      <c r="I81" s="82">
        <v>-3.637978807091713E-11</v>
      </c>
    </row>
    <row r="82" ht="12.75" customHeight="1">
      <c r="A82" s="84">
        <v>45922.0</v>
      </c>
      <c r="B82" s="85" t="s">
        <v>694</v>
      </c>
      <c r="C82" s="82" t="s">
        <v>173</v>
      </c>
      <c r="D82" s="82" t="s">
        <v>110</v>
      </c>
      <c r="F82" s="85">
        <v>14096.08</v>
      </c>
      <c r="G82" s="85">
        <v>41234.18</v>
      </c>
      <c r="H82" s="82">
        <v>41234.18000000004</v>
      </c>
      <c r="I82" s="82">
        <v>0.0</v>
      </c>
    </row>
    <row r="83" ht="12.75" customHeight="1">
      <c r="A83" s="84">
        <v>45922.0</v>
      </c>
      <c r="B83" s="85" t="s">
        <v>695</v>
      </c>
      <c r="C83" s="82" t="s">
        <v>102</v>
      </c>
      <c r="D83" s="82" t="s">
        <v>696</v>
      </c>
      <c r="E83" s="85">
        <v>2360.0</v>
      </c>
      <c r="G83" s="85">
        <v>38874.18</v>
      </c>
      <c r="H83" s="82">
        <v>38874.18000000004</v>
      </c>
      <c r="I83" s="82">
        <v>0.0</v>
      </c>
    </row>
    <row r="84" ht="12.75" customHeight="1">
      <c r="A84" s="84">
        <v>45922.0</v>
      </c>
      <c r="B84" s="85" t="s">
        <v>697</v>
      </c>
      <c r="C84" s="82" t="s">
        <v>108</v>
      </c>
      <c r="D84" s="82" t="s">
        <v>698</v>
      </c>
      <c r="E84" s="85">
        <v>730.0</v>
      </c>
      <c r="G84" s="85">
        <v>38144.18</v>
      </c>
      <c r="H84" s="82">
        <v>38144.18000000004</v>
      </c>
      <c r="I84" s="82">
        <v>0.0</v>
      </c>
    </row>
    <row r="85" ht="12.75" customHeight="1">
      <c r="A85" s="84">
        <v>45923.0</v>
      </c>
      <c r="B85" s="85" t="s">
        <v>699</v>
      </c>
      <c r="C85" s="82" t="s">
        <v>123</v>
      </c>
      <c r="D85" s="82" t="s">
        <v>399</v>
      </c>
      <c r="E85" s="85">
        <v>15000.0</v>
      </c>
      <c r="G85" s="85">
        <v>23144.18</v>
      </c>
      <c r="H85" s="82">
        <v>23144.180000000037</v>
      </c>
      <c r="I85" s="82">
        <v>-3.637978807091713E-11</v>
      </c>
    </row>
    <row r="86" ht="12.75" customHeight="1">
      <c r="A86" s="84">
        <v>45923.0</v>
      </c>
      <c r="B86" s="85" t="s">
        <v>700</v>
      </c>
      <c r="C86" s="82" t="s">
        <v>118</v>
      </c>
      <c r="E86" s="85">
        <v>210.0</v>
      </c>
      <c r="G86" s="85">
        <v>22934.18</v>
      </c>
      <c r="H86" s="82">
        <v>22934.180000000037</v>
      </c>
      <c r="I86" s="82">
        <v>-3.637978807091713E-11</v>
      </c>
    </row>
    <row r="87" ht="12.75" customHeight="1">
      <c r="A87" s="84">
        <v>45923.0</v>
      </c>
      <c r="B87" s="85" t="s">
        <v>701</v>
      </c>
      <c r="C87" s="82" t="s">
        <v>118</v>
      </c>
      <c r="E87" s="85">
        <v>2058.0</v>
      </c>
      <c r="G87" s="85">
        <v>20876.18</v>
      </c>
      <c r="H87" s="82">
        <v>20876.180000000037</v>
      </c>
      <c r="I87" s="82">
        <v>-3.637978807091713E-11</v>
      </c>
    </row>
    <row r="88" ht="12.75" customHeight="1">
      <c r="A88" s="84">
        <v>45924.0</v>
      </c>
      <c r="B88" s="85" t="s">
        <v>702</v>
      </c>
      <c r="C88" s="82" t="s">
        <v>96</v>
      </c>
      <c r="D88" s="82" t="s">
        <v>175</v>
      </c>
      <c r="E88" s="85">
        <v>8009.0</v>
      </c>
      <c r="G88" s="85">
        <v>12867.18</v>
      </c>
      <c r="H88" s="82">
        <v>12867.180000000037</v>
      </c>
      <c r="I88" s="82">
        <v>-3.637978807091713E-11</v>
      </c>
    </row>
    <row r="89" ht="12.75" customHeight="1">
      <c r="A89" s="84">
        <v>45925.0</v>
      </c>
      <c r="B89" s="85" t="s">
        <v>703</v>
      </c>
      <c r="C89" s="82" t="s">
        <v>100</v>
      </c>
      <c r="D89" s="82" t="s">
        <v>149</v>
      </c>
      <c r="E89" s="85">
        <v>300.9</v>
      </c>
      <c r="G89" s="85">
        <v>12566.28</v>
      </c>
      <c r="H89" s="82">
        <v>12566.280000000037</v>
      </c>
      <c r="I89" s="82">
        <v>-3.637978807091713E-11</v>
      </c>
    </row>
    <row r="90" ht="12.75" customHeight="1">
      <c r="A90" s="84">
        <v>45925.0</v>
      </c>
      <c r="B90" s="85" t="s">
        <v>704</v>
      </c>
      <c r="C90" s="82" t="s">
        <v>87</v>
      </c>
      <c r="D90" s="82" t="s">
        <v>171</v>
      </c>
      <c r="E90" s="85">
        <v>750.0</v>
      </c>
      <c r="G90" s="85">
        <v>11816.28</v>
      </c>
      <c r="H90" s="82">
        <v>11816.280000000037</v>
      </c>
      <c r="I90" s="82">
        <v>-3.637978807091713E-11</v>
      </c>
    </row>
    <row r="91" ht="12.75" customHeight="1">
      <c r="A91" s="84">
        <v>45925.0</v>
      </c>
      <c r="B91" s="85" t="s">
        <v>705</v>
      </c>
      <c r="C91" s="82" t="s">
        <v>102</v>
      </c>
      <c r="D91" s="82" t="s">
        <v>706</v>
      </c>
      <c r="E91" s="85">
        <v>5000.0</v>
      </c>
      <c r="G91" s="85">
        <v>6816.28</v>
      </c>
      <c r="H91" s="82">
        <v>6816.280000000037</v>
      </c>
      <c r="I91" s="82">
        <v>-3.728928277269006E-11</v>
      </c>
    </row>
    <row r="92" ht="12.75" customHeight="1">
      <c r="A92" s="84">
        <v>45926.0</v>
      </c>
      <c r="B92" s="85" t="s">
        <v>707</v>
      </c>
      <c r="C92" s="82" t="s">
        <v>118</v>
      </c>
      <c r="E92" s="85">
        <v>6500.0</v>
      </c>
      <c r="G92" s="85">
        <v>316.28</v>
      </c>
      <c r="H92" s="82">
        <v>316.28000000003703</v>
      </c>
      <c r="I92" s="82">
        <v>-3.7061909097246826E-11</v>
      </c>
    </row>
    <row r="93" ht="12.75" customHeight="1">
      <c r="A93" s="84">
        <v>45926.0</v>
      </c>
      <c r="B93" s="85" t="s">
        <v>708</v>
      </c>
      <c r="C93" s="82" t="s">
        <v>105</v>
      </c>
      <c r="D93" s="82" t="s">
        <v>103</v>
      </c>
      <c r="F93" s="85">
        <v>1.0</v>
      </c>
      <c r="G93" s="85">
        <v>317.28</v>
      </c>
      <c r="H93" s="82">
        <v>317.28000000003703</v>
      </c>
      <c r="I93" s="82">
        <v>-3.7061909097246826E-11</v>
      </c>
    </row>
    <row r="94" ht="12.75" customHeight="1">
      <c r="A94" s="84">
        <v>45926.0</v>
      </c>
      <c r="B94" s="85" t="s">
        <v>709</v>
      </c>
      <c r="C94" s="82" t="s">
        <v>173</v>
      </c>
      <c r="D94" s="82" t="s">
        <v>110</v>
      </c>
      <c r="F94" s="85">
        <v>6145.14</v>
      </c>
      <c r="G94" s="85">
        <v>6462.42</v>
      </c>
      <c r="H94" s="82">
        <v>6462.420000000037</v>
      </c>
      <c r="I94" s="82">
        <v>-3.728928277269006E-11</v>
      </c>
    </row>
    <row r="95" ht="12.75" customHeight="1">
      <c r="A95" s="84">
        <v>45927.0</v>
      </c>
      <c r="B95" s="85" t="s">
        <v>710</v>
      </c>
      <c r="C95" s="82" t="s">
        <v>118</v>
      </c>
      <c r="E95" s="85">
        <v>6000.0</v>
      </c>
      <c r="G95" s="85">
        <v>462.42</v>
      </c>
      <c r="H95" s="82">
        <v>462.42000000003736</v>
      </c>
      <c r="I95" s="82">
        <v>-3.7346126191550866E-11</v>
      </c>
    </row>
    <row r="96" ht="12.75" customHeight="1">
      <c r="A96" s="84">
        <v>45927.0</v>
      </c>
      <c r="B96" s="85" t="s">
        <v>711</v>
      </c>
      <c r="C96" s="82" t="s">
        <v>104</v>
      </c>
      <c r="D96" s="82" t="s">
        <v>104</v>
      </c>
      <c r="E96" s="85">
        <v>5.9</v>
      </c>
      <c r="G96" s="85">
        <v>456.52</v>
      </c>
      <c r="H96" s="82">
        <v>456.5200000000374</v>
      </c>
      <c r="I96" s="82">
        <v>-3.7402969610411674E-11</v>
      </c>
    </row>
    <row r="97" ht="12.75" customHeight="1"/>
    <row r="98" ht="12.75" customHeight="1"/>
    <row r="99" ht="12.75" customHeight="1">
      <c r="E99" s="85">
        <f t="shared" ref="E99:F99" si="1">SUM(E2:E98)</f>
        <v>687918.45</v>
      </c>
      <c r="F99" s="85">
        <f t="shared" si="1"/>
        <v>675087.66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88"/>
    <col customWidth="1" min="2" max="2" width="20.13"/>
    <col customWidth="1" min="3" max="3" width="17.38"/>
  </cols>
  <sheetData>
    <row r="1">
      <c r="A1" s="12"/>
      <c r="B1" s="12"/>
      <c r="C1" s="12"/>
      <c r="D1" s="12"/>
      <c r="E1" s="12"/>
    </row>
    <row r="3">
      <c r="A3" s="12"/>
      <c r="B3" s="12"/>
      <c r="C3" s="12"/>
      <c r="D3" s="12"/>
      <c r="E3" s="12"/>
    </row>
    <row r="4">
      <c r="A4" s="12"/>
      <c r="B4" s="12"/>
      <c r="C4" s="12"/>
      <c r="D4" s="12"/>
      <c r="E4" s="12"/>
    </row>
    <row r="5">
      <c r="A5" s="98" t="s">
        <v>801</v>
      </c>
      <c r="B5" s="98" t="s">
        <v>800</v>
      </c>
      <c r="C5" s="98" t="s">
        <v>799</v>
      </c>
      <c r="D5" s="12"/>
      <c r="E5" s="12"/>
    </row>
    <row r="6">
      <c r="A6" s="99" t="s">
        <v>104</v>
      </c>
      <c r="B6" s="90">
        <v>423.52</v>
      </c>
      <c r="C6" s="12"/>
      <c r="D6" s="12"/>
      <c r="E6" s="12"/>
    </row>
    <row r="7">
      <c r="A7" s="99" t="s">
        <v>118</v>
      </c>
      <c r="B7" s="90">
        <v>72755.0</v>
      </c>
      <c r="C7" s="90">
        <v>2500.0</v>
      </c>
      <c r="D7" s="12"/>
      <c r="E7" s="12"/>
    </row>
    <row r="8">
      <c r="A8" s="99" t="s">
        <v>83</v>
      </c>
      <c r="B8" s="90">
        <v>175984.0</v>
      </c>
      <c r="C8" s="12"/>
      <c r="D8" s="12"/>
      <c r="E8" s="12"/>
    </row>
    <row r="9">
      <c r="A9" s="99" t="s">
        <v>123</v>
      </c>
      <c r="B9" s="90">
        <v>1500.0</v>
      </c>
      <c r="C9" s="12"/>
      <c r="D9" s="12"/>
      <c r="E9" s="12"/>
    </row>
    <row r="10">
      <c r="A10" s="99" t="s">
        <v>85</v>
      </c>
      <c r="B10" s="90">
        <v>28122.0</v>
      </c>
      <c r="C10" s="12"/>
      <c r="D10" s="12"/>
      <c r="E10" s="12"/>
    </row>
    <row r="11">
      <c r="A11" s="99" t="s">
        <v>86</v>
      </c>
      <c r="B11" s="90">
        <v>27958.0</v>
      </c>
      <c r="C11" s="12"/>
      <c r="D11" s="12"/>
      <c r="E11" s="12"/>
    </row>
    <row r="12">
      <c r="A12" s="99" t="s">
        <v>124</v>
      </c>
      <c r="B12" s="90">
        <v>4258.0</v>
      </c>
      <c r="C12" s="12"/>
      <c r="D12" s="12"/>
      <c r="E12" s="12"/>
    </row>
    <row r="13">
      <c r="A13" s="99" t="s">
        <v>87</v>
      </c>
      <c r="B13" s="90">
        <v>9410.0</v>
      </c>
      <c r="C13" s="12"/>
      <c r="D13" s="12"/>
      <c r="E13" s="12"/>
    </row>
    <row r="14">
      <c r="A14" s="99" t="s">
        <v>106</v>
      </c>
      <c r="B14" s="90">
        <v>7906.0</v>
      </c>
      <c r="C14" s="12"/>
      <c r="D14" s="12"/>
      <c r="E14" s="12"/>
    </row>
    <row r="15">
      <c r="A15" s="99" t="s">
        <v>146</v>
      </c>
      <c r="B15" s="12"/>
      <c r="C15" s="90">
        <v>131089.0</v>
      </c>
      <c r="D15" s="12"/>
      <c r="E15" s="12"/>
    </row>
    <row r="16">
      <c r="A16" s="99" t="s">
        <v>88</v>
      </c>
      <c r="B16" s="90">
        <v>8679.98</v>
      </c>
      <c r="C16" s="12"/>
      <c r="D16" s="12"/>
      <c r="E16" s="12"/>
    </row>
    <row r="17">
      <c r="A17" s="99" t="s">
        <v>89</v>
      </c>
      <c r="B17" s="90">
        <v>14000.0</v>
      </c>
      <c r="C17" s="12"/>
      <c r="D17" s="12"/>
      <c r="E17" s="12"/>
    </row>
    <row r="18">
      <c r="A18" s="99" t="s">
        <v>91</v>
      </c>
      <c r="B18" s="90">
        <v>32750.0</v>
      </c>
      <c r="C18" s="12"/>
      <c r="D18" s="12"/>
      <c r="E18" s="12"/>
    </row>
    <row r="19">
      <c r="A19" s="99" t="s">
        <v>125</v>
      </c>
      <c r="B19" s="90">
        <v>473.07</v>
      </c>
      <c r="C19" s="12"/>
      <c r="D19" s="12"/>
      <c r="E19" s="12"/>
    </row>
    <row r="20">
      <c r="A20" s="99" t="s">
        <v>92</v>
      </c>
      <c r="B20" s="90">
        <v>9734.0</v>
      </c>
      <c r="C20" s="12"/>
      <c r="D20" s="12"/>
      <c r="E20" s="12"/>
    </row>
    <row r="21">
      <c r="A21" s="99" t="s">
        <v>93</v>
      </c>
      <c r="B21" s="90">
        <v>16065.0</v>
      </c>
      <c r="C21" s="12"/>
      <c r="D21" s="12"/>
      <c r="E21" s="12"/>
    </row>
    <row r="22">
      <c r="A22" s="99" t="s">
        <v>96</v>
      </c>
      <c r="B22" s="90">
        <v>129777.0</v>
      </c>
      <c r="C22" s="12"/>
      <c r="D22" s="12"/>
      <c r="E22" s="12"/>
    </row>
    <row r="23">
      <c r="A23" s="99" t="s">
        <v>173</v>
      </c>
      <c r="B23" s="12"/>
      <c r="C23" s="90">
        <v>391097.12</v>
      </c>
      <c r="D23" s="12"/>
      <c r="E23" s="12"/>
    </row>
    <row r="24">
      <c r="A24" s="99" t="s">
        <v>120</v>
      </c>
      <c r="B24" s="90">
        <v>245000.0</v>
      </c>
      <c r="C24" s="90">
        <v>169000.0</v>
      </c>
      <c r="D24" s="12"/>
      <c r="E24" s="12"/>
    </row>
    <row r="25">
      <c r="A25" s="99" t="s">
        <v>97</v>
      </c>
      <c r="B25" s="90">
        <v>2640.44</v>
      </c>
      <c r="C25" s="12"/>
      <c r="D25" s="12"/>
      <c r="E25" s="12"/>
    </row>
    <row r="26">
      <c r="A26" s="99" t="s">
        <v>98</v>
      </c>
      <c r="B26" s="90">
        <v>53882.0</v>
      </c>
      <c r="C26" s="12"/>
      <c r="D26" s="12"/>
      <c r="E26" s="12"/>
    </row>
    <row r="27">
      <c r="A27" s="99" t="s">
        <v>105</v>
      </c>
      <c r="B27" s="12"/>
      <c r="C27" s="90">
        <v>5.0</v>
      </c>
      <c r="D27" s="12"/>
      <c r="E27" s="12"/>
    </row>
    <row r="28">
      <c r="A28" s="99" t="s">
        <v>100</v>
      </c>
      <c r="B28" s="90">
        <v>300.9</v>
      </c>
      <c r="C28" s="12"/>
      <c r="D28" s="12"/>
      <c r="E28" s="12"/>
    </row>
    <row r="29">
      <c r="A29" s="100" t="s">
        <v>101</v>
      </c>
      <c r="B29" s="101">
        <v>841618.91</v>
      </c>
      <c r="C29" s="101">
        <v>693691.12</v>
      </c>
      <c r="D29" s="12"/>
      <c r="E29" s="12"/>
    </row>
    <row r="30">
      <c r="A30" s="12"/>
      <c r="B30" s="12"/>
      <c r="C30" s="12"/>
      <c r="D30" s="12"/>
      <c r="E30" s="12"/>
    </row>
    <row r="31">
      <c r="A31" s="12"/>
      <c r="B31" s="12"/>
      <c r="C31" s="12"/>
      <c r="D31" s="12"/>
      <c r="E31" s="1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04.63"/>
    <col customWidth="1" min="3" max="3" width="34.75"/>
    <col customWidth="1" min="4" max="4" width="22.75"/>
    <col customWidth="1" min="5" max="5" width="14.0"/>
    <col customWidth="1" min="6" max="6" width="11.25"/>
  </cols>
  <sheetData>
    <row r="1">
      <c r="A1" s="102" t="s">
        <v>78</v>
      </c>
      <c r="B1" s="102" t="s">
        <v>138</v>
      </c>
      <c r="C1" s="102" t="s">
        <v>139</v>
      </c>
      <c r="D1" s="102" t="s">
        <v>140</v>
      </c>
      <c r="E1" s="103" t="s">
        <v>141</v>
      </c>
      <c r="F1" s="103" t="s">
        <v>142</v>
      </c>
      <c r="G1" s="102" t="s">
        <v>143</v>
      </c>
      <c r="H1" s="102" t="s">
        <v>143</v>
      </c>
      <c r="I1" s="102" t="s">
        <v>144</v>
      </c>
    </row>
    <row r="2">
      <c r="A2" s="104">
        <v>45667.0</v>
      </c>
      <c r="B2" s="88" t="s">
        <v>720</v>
      </c>
      <c r="C2" s="89" t="s">
        <v>83</v>
      </c>
      <c r="D2" s="89" t="s">
        <v>160</v>
      </c>
      <c r="E2" s="105">
        <v>97992.0</v>
      </c>
      <c r="F2" s="106"/>
      <c r="G2" s="90">
        <v>50237.52</v>
      </c>
      <c r="H2" s="107">
        <v>50237.52</v>
      </c>
      <c r="I2" s="107">
        <v>0.0</v>
      </c>
    </row>
    <row r="3">
      <c r="A3" s="104">
        <v>45667.0</v>
      </c>
      <c r="B3" s="88" t="s">
        <v>721</v>
      </c>
      <c r="C3" s="92" t="s">
        <v>92</v>
      </c>
      <c r="D3" s="92" t="s">
        <v>236</v>
      </c>
      <c r="E3" s="105">
        <v>3162.0</v>
      </c>
      <c r="F3" s="106"/>
      <c r="G3" s="90">
        <v>47075.52</v>
      </c>
      <c r="H3" s="107">
        <v>47075.52</v>
      </c>
      <c r="I3" s="107">
        <v>0.0</v>
      </c>
    </row>
    <row r="4">
      <c r="A4" s="104">
        <v>45818.0</v>
      </c>
      <c r="B4" s="88" t="s">
        <v>722</v>
      </c>
      <c r="C4" s="89" t="s">
        <v>104</v>
      </c>
      <c r="D4" s="89" t="s">
        <v>104</v>
      </c>
      <c r="E4" s="90">
        <v>8.0</v>
      </c>
      <c r="F4" s="106"/>
      <c r="G4" s="90">
        <v>47067.96</v>
      </c>
      <c r="H4" s="107">
        <v>47067.96</v>
      </c>
      <c r="I4" s="107">
        <v>0.0</v>
      </c>
    </row>
    <row r="5">
      <c r="A5" s="104">
        <v>45818.0</v>
      </c>
      <c r="B5" s="88" t="s">
        <v>723</v>
      </c>
      <c r="C5" s="89" t="s">
        <v>91</v>
      </c>
      <c r="D5" s="89" t="s">
        <v>162</v>
      </c>
      <c r="E5" s="105">
        <v>18875.0</v>
      </c>
      <c r="F5" s="106"/>
      <c r="G5" s="90">
        <v>28192.96</v>
      </c>
      <c r="H5" s="107">
        <v>28192.96</v>
      </c>
      <c r="I5" s="108">
        <v>-5.09317E-11</v>
      </c>
    </row>
    <row r="6">
      <c r="A6" s="104">
        <v>45818.0</v>
      </c>
      <c r="B6" s="88" t="s">
        <v>724</v>
      </c>
      <c r="C6" s="89" t="s">
        <v>98</v>
      </c>
      <c r="D6" s="89" t="s">
        <v>725</v>
      </c>
      <c r="E6" s="105">
        <v>2000.0</v>
      </c>
      <c r="F6" s="106"/>
      <c r="G6" s="90">
        <v>26192.96</v>
      </c>
      <c r="H6" s="107">
        <v>26192.96</v>
      </c>
      <c r="I6" s="108">
        <v>-5.09317E-11</v>
      </c>
    </row>
    <row r="7">
      <c r="A7" s="104">
        <v>45818.0</v>
      </c>
      <c r="B7" s="88" t="s">
        <v>726</v>
      </c>
      <c r="C7" s="89" t="s">
        <v>91</v>
      </c>
      <c r="D7" s="89" t="s">
        <v>260</v>
      </c>
      <c r="E7" s="105">
        <v>13875.0</v>
      </c>
      <c r="F7" s="106"/>
      <c r="G7" s="90">
        <v>12317.96</v>
      </c>
      <c r="H7" s="107">
        <v>12317.96</v>
      </c>
      <c r="I7" s="108">
        <v>-5.09317E-11</v>
      </c>
    </row>
    <row r="8">
      <c r="A8" s="104">
        <v>45818.0</v>
      </c>
      <c r="B8" s="88" t="s">
        <v>727</v>
      </c>
      <c r="C8" s="89" t="s">
        <v>120</v>
      </c>
      <c r="D8" s="89" t="s">
        <v>197</v>
      </c>
      <c r="E8" s="106"/>
      <c r="F8" s="105">
        <v>4000.0</v>
      </c>
      <c r="G8" s="90">
        <v>16317.96</v>
      </c>
      <c r="H8" s="107">
        <v>16317.96</v>
      </c>
      <c r="I8" s="108">
        <v>-5.09317E-11</v>
      </c>
    </row>
    <row r="9">
      <c r="A9" s="104">
        <v>45818.0</v>
      </c>
      <c r="B9" s="88" t="s">
        <v>728</v>
      </c>
      <c r="C9" s="89" t="s">
        <v>173</v>
      </c>
      <c r="D9" s="89" t="s">
        <v>110</v>
      </c>
      <c r="E9" s="106"/>
      <c r="F9" s="90" t="s">
        <v>802</v>
      </c>
      <c r="G9" s="90">
        <v>119323.6</v>
      </c>
      <c r="H9" s="107">
        <v>119323.6</v>
      </c>
      <c r="I9" s="107">
        <v>0.0</v>
      </c>
    </row>
    <row r="10">
      <c r="A10" s="104">
        <v>45848.0</v>
      </c>
      <c r="B10" s="89" t="s">
        <v>729</v>
      </c>
      <c r="C10" s="89" t="s">
        <v>105</v>
      </c>
      <c r="D10" s="89" t="s">
        <v>730</v>
      </c>
      <c r="E10" s="106"/>
      <c r="F10" s="90">
        <v>5.0</v>
      </c>
      <c r="G10" s="90">
        <v>119328.6</v>
      </c>
      <c r="H10" s="107">
        <v>119328.6</v>
      </c>
      <c r="I10" s="107">
        <v>0.0</v>
      </c>
    </row>
    <row r="11">
      <c r="A11" s="104">
        <v>45848.0</v>
      </c>
      <c r="B11" s="88" t="s">
        <v>731</v>
      </c>
      <c r="C11" s="89" t="s">
        <v>123</v>
      </c>
      <c r="D11" s="89" t="s">
        <v>399</v>
      </c>
      <c r="E11" s="105">
        <v>1200.0</v>
      </c>
      <c r="F11" s="106"/>
      <c r="G11" s="90">
        <v>118128.6</v>
      </c>
      <c r="H11" s="107">
        <v>118128.6</v>
      </c>
      <c r="I11" s="107">
        <v>0.0</v>
      </c>
    </row>
    <row r="12">
      <c r="A12" s="104">
        <v>45848.0</v>
      </c>
      <c r="B12" s="88" t="s">
        <v>732</v>
      </c>
      <c r="C12" s="89" t="s">
        <v>118</v>
      </c>
      <c r="D12" s="89" t="s">
        <v>118</v>
      </c>
      <c r="E12" s="106"/>
      <c r="F12" s="105">
        <v>2500.0</v>
      </c>
      <c r="G12" s="90">
        <v>120628.6</v>
      </c>
      <c r="H12" s="107">
        <v>120628.6</v>
      </c>
      <c r="I12" s="107">
        <v>0.0</v>
      </c>
    </row>
    <row r="13">
      <c r="A13" s="104">
        <v>45848.0</v>
      </c>
      <c r="B13" s="88" t="s">
        <v>733</v>
      </c>
      <c r="C13" s="89" t="s">
        <v>118</v>
      </c>
      <c r="D13" s="89" t="s">
        <v>118</v>
      </c>
      <c r="E13" s="105">
        <v>20000.0</v>
      </c>
      <c r="F13" s="106"/>
      <c r="G13" s="90">
        <v>100628.6</v>
      </c>
      <c r="H13" s="107">
        <v>100628.6</v>
      </c>
      <c r="I13" s="107">
        <v>0.0</v>
      </c>
    </row>
    <row r="14">
      <c r="A14" s="104">
        <v>45848.0</v>
      </c>
      <c r="B14" s="89" t="s">
        <v>734</v>
      </c>
      <c r="C14" s="92" t="s">
        <v>97</v>
      </c>
      <c r="D14" s="92" t="s">
        <v>166</v>
      </c>
      <c r="E14" s="105">
        <v>1534.0</v>
      </c>
      <c r="F14" s="106"/>
      <c r="G14" s="90">
        <v>99094.6</v>
      </c>
      <c r="H14" s="107">
        <v>99094.6</v>
      </c>
      <c r="I14" s="107">
        <v>0.0</v>
      </c>
    </row>
    <row r="15">
      <c r="A15" s="104">
        <v>45848.0</v>
      </c>
      <c r="B15" s="88" t="s">
        <v>735</v>
      </c>
      <c r="C15" s="92" t="s">
        <v>89</v>
      </c>
      <c r="D15" s="92" t="s">
        <v>736</v>
      </c>
      <c r="E15" s="105">
        <v>14000.0</v>
      </c>
      <c r="F15" s="106"/>
      <c r="G15" s="90">
        <v>85094.6</v>
      </c>
      <c r="H15" s="107">
        <v>85094.6</v>
      </c>
      <c r="I15" s="107">
        <v>0.0</v>
      </c>
    </row>
    <row r="16">
      <c r="A16" s="104">
        <v>45879.0</v>
      </c>
      <c r="B16" s="88" t="s">
        <v>737</v>
      </c>
      <c r="C16" s="92" t="s">
        <v>106</v>
      </c>
      <c r="D16" s="92" t="s">
        <v>274</v>
      </c>
      <c r="E16" s="105">
        <v>7080.0</v>
      </c>
      <c r="F16" s="106"/>
      <c r="G16" s="90">
        <v>78014.6</v>
      </c>
      <c r="H16" s="107">
        <v>78014.6</v>
      </c>
      <c r="I16" s="107">
        <v>0.0</v>
      </c>
    </row>
    <row r="17">
      <c r="A17" s="109">
        <v>45940.0</v>
      </c>
      <c r="B17" s="88" t="s">
        <v>738</v>
      </c>
      <c r="C17" s="92" t="s">
        <v>104</v>
      </c>
      <c r="D17" s="92" t="s">
        <v>739</v>
      </c>
      <c r="E17" s="90">
        <v>413.0</v>
      </c>
      <c r="F17" s="106"/>
      <c r="G17" s="90">
        <v>77601.6</v>
      </c>
      <c r="H17" s="107">
        <v>77601.6</v>
      </c>
      <c r="I17" s="107">
        <v>0.0</v>
      </c>
    </row>
    <row r="18">
      <c r="A18" s="109">
        <v>45940.0</v>
      </c>
      <c r="B18" s="88" t="s">
        <v>740</v>
      </c>
      <c r="C18" s="89" t="s">
        <v>87</v>
      </c>
      <c r="D18" s="89" t="s">
        <v>155</v>
      </c>
      <c r="E18" s="105">
        <v>5760.0</v>
      </c>
      <c r="F18" s="106"/>
      <c r="G18" s="90">
        <v>71841.6</v>
      </c>
      <c r="H18" s="107">
        <v>71841.6</v>
      </c>
      <c r="I18" s="107">
        <v>0.0</v>
      </c>
    </row>
    <row r="19">
      <c r="A19" s="109">
        <v>45940.0</v>
      </c>
      <c r="B19" s="88" t="s">
        <v>741</v>
      </c>
      <c r="C19" s="92" t="s">
        <v>98</v>
      </c>
      <c r="D19" s="92" t="s">
        <v>742</v>
      </c>
      <c r="E19" s="105">
        <v>10000.0</v>
      </c>
      <c r="F19" s="106"/>
      <c r="G19" s="90">
        <v>61841.6</v>
      </c>
      <c r="H19" s="107">
        <v>61841.6</v>
      </c>
      <c r="I19" s="107">
        <v>0.0</v>
      </c>
    </row>
    <row r="20">
      <c r="A20" s="109">
        <v>45940.0</v>
      </c>
      <c r="B20" s="88" t="s">
        <v>209</v>
      </c>
      <c r="C20" s="89" t="s">
        <v>93</v>
      </c>
      <c r="D20" s="89" t="s">
        <v>743</v>
      </c>
      <c r="E20" s="105">
        <v>16065.0</v>
      </c>
      <c r="F20" s="106"/>
      <c r="G20" s="90">
        <v>45776.6</v>
      </c>
      <c r="H20" s="107">
        <v>45776.6</v>
      </c>
      <c r="I20" s="107">
        <v>0.0</v>
      </c>
    </row>
    <row r="21">
      <c r="A21" s="109">
        <v>45940.0</v>
      </c>
      <c r="B21" s="88" t="s">
        <v>744</v>
      </c>
      <c r="C21" s="92" t="s">
        <v>100</v>
      </c>
      <c r="D21" s="92" t="s">
        <v>149</v>
      </c>
      <c r="E21" s="90">
        <v>301.0</v>
      </c>
      <c r="F21" s="106"/>
      <c r="G21" s="90">
        <v>45475.7</v>
      </c>
      <c r="H21" s="107">
        <v>45475.7</v>
      </c>
      <c r="I21" s="107">
        <v>0.0</v>
      </c>
    </row>
    <row r="22">
      <c r="A22" s="90" t="s">
        <v>803</v>
      </c>
      <c r="B22" s="89" t="s">
        <v>745</v>
      </c>
      <c r="C22" s="89" t="s">
        <v>88</v>
      </c>
      <c r="D22" s="89" t="s">
        <v>230</v>
      </c>
      <c r="E22" s="105">
        <v>5314.0</v>
      </c>
      <c r="F22" s="106"/>
      <c r="G22" s="90">
        <v>40162.16</v>
      </c>
      <c r="H22" s="107">
        <v>40162.16</v>
      </c>
      <c r="I22" s="107">
        <v>0.0</v>
      </c>
    </row>
    <row r="23">
      <c r="A23" s="90" t="s">
        <v>803</v>
      </c>
      <c r="B23" s="88" t="s">
        <v>746</v>
      </c>
      <c r="C23" s="89" t="s">
        <v>88</v>
      </c>
      <c r="D23" s="89" t="s">
        <v>205</v>
      </c>
      <c r="E23" s="105">
        <v>1713.0</v>
      </c>
      <c r="F23" s="106"/>
      <c r="G23" s="90">
        <v>38449.44</v>
      </c>
      <c r="H23" s="107">
        <v>38449.44</v>
      </c>
      <c r="I23" s="107">
        <v>0.0</v>
      </c>
    </row>
    <row r="24">
      <c r="A24" s="90" t="s">
        <v>803</v>
      </c>
      <c r="B24" s="89" t="s">
        <v>747</v>
      </c>
      <c r="C24" s="89" t="s">
        <v>88</v>
      </c>
      <c r="D24" s="89" t="s">
        <v>205</v>
      </c>
      <c r="E24" s="105">
        <v>1654.0</v>
      </c>
      <c r="F24" s="106"/>
      <c r="G24" s="90">
        <v>36795.72</v>
      </c>
      <c r="H24" s="107">
        <v>36795.72</v>
      </c>
      <c r="I24" s="107">
        <v>0.0</v>
      </c>
    </row>
    <row r="25">
      <c r="A25" s="90" t="s">
        <v>803</v>
      </c>
      <c r="B25" s="88" t="s">
        <v>748</v>
      </c>
      <c r="C25" s="89" t="s">
        <v>125</v>
      </c>
      <c r="D25" s="89" t="s">
        <v>603</v>
      </c>
      <c r="E25" s="90">
        <v>473.0</v>
      </c>
      <c r="F25" s="106"/>
      <c r="G25" s="90">
        <v>36322.65</v>
      </c>
      <c r="H25" s="107">
        <v>36322.65</v>
      </c>
      <c r="I25" s="107">
        <v>0.0</v>
      </c>
    </row>
    <row r="26">
      <c r="A26" s="90" t="s">
        <v>803</v>
      </c>
      <c r="B26" s="88" t="s">
        <v>749</v>
      </c>
      <c r="C26" s="89" t="s">
        <v>85</v>
      </c>
      <c r="D26" s="89" t="s">
        <v>151</v>
      </c>
      <c r="E26" s="105">
        <v>23957.0</v>
      </c>
      <c r="F26" s="106"/>
      <c r="G26" s="90">
        <v>12365.65</v>
      </c>
      <c r="H26" s="107">
        <v>12365.65</v>
      </c>
      <c r="I26" s="108">
        <v>-4.54747E-11</v>
      </c>
    </row>
    <row r="27">
      <c r="A27" s="90" t="s">
        <v>803</v>
      </c>
      <c r="B27" s="88" t="s">
        <v>750</v>
      </c>
      <c r="C27" s="89" t="s">
        <v>85</v>
      </c>
      <c r="D27" s="89" t="s">
        <v>151</v>
      </c>
      <c r="E27" s="105">
        <v>4165.0</v>
      </c>
      <c r="F27" s="106"/>
      <c r="G27" s="90">
        <v>8200.65</v>
      </c>
      <c r="H27" s="107">
        <v>8200.65</v>
      </c>
      <c r="I27" s="108">
        <v>-4.54747E-11</v>
      </c>
    </row>
    <row r="28">
      <c r="A28" s="90" t="s">
        <v>803</v>
      </c>
      <c r="B28" s="88" t="s">
        <v>751</v>
      </c>
      <c r="C28" s="89" t="s">
        <v>120</v>
      </c>
      <c r="D28" s="89" t="s">
        <v>197</v>
      </c>
      <c r="E28" s="106"/>
      <c r="F28" s="90" t="s">
        <v>804</v>
      </c>
      <c r="G28" s="90">
        <v>173200.65</v>
      </c>
      <c r="H28" s="107">
        <v>173200.65</v>
      </c>
      <c r="I28" s="107">
        <v>0.0</v>
      </c>
    </row>
    <row r="29">
      <c r="A29" s="90" t="s">
        <v>803</v>
      </c>
      <c r="B29" s="88" t="s">
        <v>752</v>
      </c>
      <c r="C29" s="89" t="s">
        <v>96</v>
      </c>
      <c r="D29" s="89" t="s">
        <v>175</v>
      </c>
      <c r="E29" s="90" t="s">
        <v>805</v>
      </c>
      <c r="F29" s="106"/>
      <c r="G29" s="90">
        <v>43423.65</v>
      </c>
      <c r="H29" s="107">
        <v>43423.65</v>
      </c>
      <c r="I29" s="107">
        <v>0.0</v>
      </c>
    </row>
    <row r="30">
      <c r="A30" s="90" t="s">
        <v>803</v>
      </c>
      <c r="B30" s="88" t="s">
        <v>753</v>
      </c>
      <c r="C30" s="89" t="s">
        <v>98</v>
      </c>
      <c r="D30" s="89" t="s">
        <v>343</v>
      </c>
      <c r="E30" s="105">
        <v>7000.0</v>
      </c>
      <c r="F30" s="106"/>
      <c r="G30" s="90">
        <v>36423.65</v>
      </c>
      <c r="H30" s="107">
        <v>36423.65</v>
      </c>
      <c r="I30" s="107">
        <v>0.0</v>
      </c>
    </row>
    <row r="31">
      <c r="A31" s="90" t="s">
        <v>803</v>
      </c>
      <c r="B31" s="88" t="s">
        <v>754</v>
      </c>
      <c r="C31" s="89" t="s">
        <v>98</v>
      </c>
      <c r="D31" s="89" t="s">
        <v>668</v>
      </c>
      <c r="E31" s="105">
        <v>6708.0</v>
      </c>
      <c r="F31" s="106"/>
      <c r="G31" s="90">
        <v>29715.65</v>
      </c>
      <c r="H31" s="107">
        <v>29715.65</v>
      </c>
      <c r="I31" s="108">
        <v>-5.09317E-11</v>
      </c>
    </row>
    <row r="32">
      <c r="A32" s="90" t="s">
        <v>803</v>
      </c>
      <c r="B32" s="88" t="s">
        <v>755</v>
      </c>
      <c r="C32" s="89" t="s">
        <v>98</v>
      </c>
      <c r="D32" s="89" t="s">
        <v>676</v>
      </c>
      <c r="E32" s="105">
        <v>4958.0</v>
      </c>
      <c r="F32" s="106"/>
      <c r="G32" s="90">
        <v>24757.65</v>
      </c>
      <c r="H32" s="107">
        <v>24757.65</v>
      </c>
      <c r="I32" s="108">
        <v>-5.09317E-11</v>
      </c>
    </row>
    <row r="33">
      <c r="A33" s="90" t="s">
        <v>803</v>
      </c>
      <c r="B33" s="88" t="s">
        <v>756</v>
      </c>
      <c r="C33" s="89" t="s">
        <v>98</v>
      </c>
      <c r="D33" s="89" t="s">
        <v>664</v>
      </c>
      <c r="E33" s="105">
        <v>6125.0</v>
      </c>
      <c r="F33" s="106"/>
      <c r="G33" s="90">
        <v>18632.65</v>
      </c>
      <c r="H33" s="107">
        <v>18632.65</v>
      </c>
      <c r="I33" s="108">
        <v>-5.09317E-11</v>
      </c>
    </row>
    <row r="34">
      <c r="A34" s="90" t="s">
        <v>806</v>
      </c>
      <c r="B34" s="88" t="s">
        <v>757</v>
      </c>
      <c r="C34" s="89" t="s">
        <v>98</v>
      </c>
      <c r="D34" s="89" t="s">
        <v>183</v>
      </c>
      <c r="E34" s="105">
        <v>8091.0</v>
      </c>
      <c r="F34" s="106"/>
      <c r="G34" s="90">
        <v>10541.65</v>
      </c>
      <c r="H34" s="107">
        <v>10541.65</v>
      </c>
      <c r="I34" s="108">
        <v>-5.27507E-11</v>
      </c>
    </row>
    <row r="35">
      <c r="A35" s="90" t="s">
        <v>806</v>
      </c>
      <c r="B35" s="88" t="s">
        <v>758</v>
      </c>
      <c r="C35" s="89" t="s">
        <v>118</v>
      </c>
      <c r="D35" s="12"/>
      <c r="E35" s="105">
        <v>1500.0</v>
      </c>
      <c r="F35" s="106"/>
      <c r="G35" s="90">
        <v>9041.65</v>
      </c>
      <c r="H35" s="107">
        <v>9041.65</v>
      </c>
      <c r="I35" s="108">
        <v>-5.27507E-11</v>
      </c>
    </row>
    <row r="36">
      <c r="A36" s="90" t="s">
        <v>806</v>
      </c>
      <c r="B36" s="88" t="s">
        <v>760</v>
      </c>
      <c r="C36" s="89" t="s">
        <v>118</v>
      </c>
      <c r="D36" s="12"/>
      <c r="E36" s="105">
        <v>1600.0</v>
      </c>
      <c r="F36" s="106"/>
      <c r="G36" s="90">
        <v>7441.65</v>
      </c>
      <c r="H36" s="107">
        <v>7441.65</v>
      </c>
      <c r="I36" s="108">
        <v>-5.27507E-11</v>
      </c>
    </row>
    <row r="37">
      <c r="A37" s="90" t="s">
        <v>806</v>
      </c>
      <c r="B37" s="88" t="s">
        <v>761</v>
      </c>
      <c r="C37" s="89" t="s">
        <v>124</v>
      </c>
      <c r="D37" s="89" t="s">
        <v>762</v>
      </c>
      <c r="E37" s="105">
        <v>4258.0</v>
      </c>
      <c r="F37" s="106"/>
      <c r="G37" s="90">
        <v>3183.65</v>
      </c>
      <c r="H37" s="107">
        <v>3183.65</v>
      </c>
      <c r="I37" s="108">
        <v>-5.22959E-11</v>
      </c>
    </row>
    <row r="38">
      <c r="A38" s="90" t="s">
        <v>806</v>
      </c>
      <c r="B38" s="88" t="s">
        <v>763</v>
      </c>
      <c r="C38" s="89" t="s">
        <v>173</v>
      </c>
      <c r="D38" s="89" t="s">
        <v>764</v>
      </c>
      <c r="E38" s="106"/>
      <c r="F38" s="105">
        <v>11800.0</v>
      </c>
      <c r="G38" s="90">
        <v>14983.65</v>
      </c>
      <c r="H38" s="107">
        <v>14983.65</v>
      </c>
      <c r="I38" s="108">
        <v>-5.27507E-11</v>
      </c>
    </row>
    <row r="39">
      <c r="A39" s="90" t="s">
        <v>807</v>
      </c>
      <c r="B39" s="88" t="s">
        <v>765</v>
      </c>
      <c r="C39" s="89" t="s">
        <v>123</v>
      </c>
      <c r="D39" s="12"/>
      <c r="E39" s="90">
        <v>300.0</v>
      </c>
      <c r="F39" s="106"/>
      <c r="G39" s="90">
        <v>14683.65</v>
      </c>
      <c r="H39" s="107">
        <v>14683.65</v>
      </c>
      <c r="I39" s="108">
        <v>-5.27507E-11</v>
      </c>
    </row>
    <row r="40">
      <c r="A40" s="90" t="s">
        <v>807</v>
      </c>
      <c r="B40" s="88" t="s">
        <v>766</v>
      </c>
      <c r="C40" s="89" t="s">
        <v>106</v>
      </c>
      <c r="D40" s="92" t="s">
        <v>274</v>
      </c>
      <c r="E40" s="90">
        <v>826.0</v>
      </c>
      <c r="F40" s="106"/>
      <c r="G40" s="90">
        <v>13857.65</v>
      </c>
      <c r="H40" s="107">
        <v>13857.65</v>
      </c>
      <c r="I40" s="108">
        <v>-5.27507E-11</v>
      </c>
    </row>
    <row r="41">
      <c r="A41" s="90" t="s">
        <v>808</v>
      </c>
      <c r="B41" s="88" t="s">
        <v>767</v>
      </c>
      <c r="C41" s="89" t="s">
        <v>120</v>
      </c>
      <c r="D41" s="89" t="s">
        <v>768</v>
      </c>
      <c r="E41" s="105">
        <v>10000.0</v>
      </c>
      <c r="F41" s="106"/>
      <c r="G41" s="90">
        <v>3857.65</v>
      </c>
      <c r="H41" s="107">
        <v>3857.65</v>
      </c>
      <c r="I41" s="108">
        <v>-5.22959E-11</v>
      </c>
    </row>
    <row r="42">
      <c r="A42" s="90" t="s">
        <v>808</v>
      </c>
      <c r="B42" s="93" t="s">
        <v>809</v>
      </c>
      <c r="C42" s="89" t="s">
        <v>173</v>
      </c>
      <c r="D42" s="89" t="s">
        <v>128</v>
      </c>
      <c r="E42" s="106"/>
      <c r="F42" s="90" t="s">
        <v>810</v>
      </c>
      <c r="G42" s="90">
        <v>103857.65</v>
      </c>
      <c r="H42" s="107">
        <v>103857.65</v>
      </c>
      <c r="I42" s="107">
        <v>0.0</v>
      </c>
    </row>
    <row r="43">
      <c r="A43" s="90" t="s">
        <v>808</v>
      </c>
      <c r="B43" s="88" t="s">
        <v>770</v>
      </c>
      <c r="C43" s="89" t="s">
        <v>86</v>
      </c>
      <c r="D43" s="89" t="s">
        <v>771</v>
      </c>
      <c r="E43" s="105">
        <v>27958.0</v>
      </c>
      <c r="F43" s="106"/>
      <c r="G43" s="90">
        <v>75899.65</v>
      </c>
      <c r="H43" s="107">
        <v>75899.65</v>
      </c>
      <c r="I43" s="107">
        <v>0.0</v>
      </c>
    </row>
    <row r="44">
      <c r="A44" s="90" t="s">
        <v>811</v>
      </c>
      <c r="B44" s="88" t="s">
        <v>772</v>
      </c>
      <c r="C44" s="89" t="s">
        <v>146</v>
      </c>
      <c r="D44" s="89" t="s">
        <v>147</v>
      </c>
      <c r="E44" s="106"/>
      <c r="F44" s="90" t="s">
        <v>812</v>
      </c>
      <c r="G44" s="90">
        <v>206988.65</v>
      </c>
      <c r="H44" s="107">
        <v>206988.65</v>
      </c>
      <c r="I44" s="107">
        <v>0.0</v>
      </c>
    </row>
    <row r="45">
      <c r="A45" s="90" t="s">
        <v>811</v>
      </c>
      <c r="B45" s="88" t="s">
        <v>773</v>
      </c>
      <c r="C45" s="92" t="s">
        <v>92</v>
      </c>
      <c r="D45" s="92" t="s">
        <v>236</v>
      </c>
      <c r="E45" s="105">
        <v>3308.0</v>
      </c>
      <c r="F45" s="106"/>
      <c r="G45" s="90">
        <v>203680.65</v>
      </c>
      <c r="H45" s="107">
        <v>203680.65</v>
      </c>
      <c r="I45" s="107">
        <v>0.0</v>
      </c>
    </row>
    <row r="46">
      <c r="A46" s="90" t="s">
        <v>811</v>
      </c>
      <c r="B46" s="88" t="s">
        <v>774</v>
      </c>
      <c r="C46" s="89" t="s">
        <v>120</v>
      </c>
      <c r="D46" s="89" t="s">
        <v>768</v>
      </c>
      <c r="E46" s="90" t="s">
        <v>813</v>
      </c>
      <c r="F46" s="106"/>
      <c r="G46" s="90">
        <v>88680.65</v>
      </c>
      <c r="H46" s="107">
        <v>88680.65</v>
      </c>
      <c r="I46" s="107">
        <v>0.0</v>
      </c>
    </row>
    <row r="47">
      <c r="A47" s="90" t="s">
        <v>811</v>
      </c>
      <c r="B47" s="88" t="s">
        <v>775</v>
      </c>
      <c r="C47" s="89" t="s">
        <v>87</v>
      </c>
      <c r="D47" s="89" t="s">
        <v>171</v>
      </c>
      <c r="E47" s="90">
        <v>890.0</v>
      </c>
      <c r="F47" s="106"/>
      <c r="G47" s="90">
        <v>87790.65</v>
      </c>
      <c r="H47" s="107">
        <v>87790.65</v>
      </c>
      <c r="I47" s="107">
        <v>0.0</v>
      </c>
    </row>
    <row r="48">
      <c r="A48" s="90" t="s">
        <v>811</v>
      </c>
      <c r="B48" s="88" t="s">
        <v>776</v>
      </c>
      <c r="C48" s="89" t="s">
        <v>87</v>
      </c>
      <c r="D48" s="89" t="s">
        <v>777</v>
      </c>
      <c r="E48" s="105">
        <v>2530.0</v>
      </c>
      <c r="F48" s="106"/>
      <c r="G48" s="90">
        <v>85260.65</v>
      </c>
      <c r="H48" s="107">
        <v>85260.65</v>
      </c>
      <c r="I48" s="107">
        <v>0.0</v>
      </c>
    </row>
    <row r="49">
      <c r="A49" s="90" t="s">
        <v>811</v>
      </c>
      <c r="B49" s="88" t="s">
        <v>778</v>
      </c>
      <c r="C49" s="89" t="s">
        <v>87</v>
      </c>
      <c r="D49" s="89" t="s">
        <v>777</v>
      </c>
      <c r="E49" s="90">
        <v>230.0</v>
      </c>
      <c r="F49" s="106"/>
      <c r="G49" s="90">
        <v>85030.65</v>
      </c>
      <c r="H49" s="107">
        <v>85030.65</v>
      </c>
      <c r="I49" s="107">
        <v>0.0</v>
      </c>
    </row>
    <row r="50">
      <c r="A50" s="90" t="s">
        <v>811</v>
      </c>
      <c r="B50" s="89" t="s">
        <v>506</v>
      </c>
      <c r="C50" s="89" t="s">
        <v>173</v>
      </c>
      <c r="D50" s="89" t="s">
        <v>129</v>
      </c>
      <c r="E50" s="106"/>
      <c r="F50" s="90" t="s">
        <v>810</v>
      </c>
      <c r="G50" s="90">
        <v>185030.65</v>
      </c>
      <c r="H50" s="107">
        <v>185030.65</v>
      </c>
      <c r="I50" s="107">
        <v>0.0</v>
      </c>
    </row>
    <row r="51">
      <c r="A51" s="90" t="s">
        <v>811</v>
      </c>
      <c r="B51" s="88" t="s">
        <v>779</v>
      </c>
      <c r="C51" s="89" t="s">
        <v>98</v>
      </c>
      <c r="D51" s="89" t="s">
        <v>662</v>
      </c>
      <c r="E51" s="105">
        <v>7000.0</v>
      </c>
      <c r="F51" s="106"/>
      <c r="G51" s="90">
        <v>178030.65</v>
      </c>
      <c r="H51" s="107">
        <v>178030.65</v>
      </c>
      <c r="I51" s="107">
        <v>0.0</v>
      </c>
    </row>
    <row r="52">
      <c r="A52" s="90" t="s">
        <v>811</v>
      </c>
      <c r="B52" s="88" t="s">
        <v>780</v>
      </c>
      <c r="C52" s="89" t="s">
        <v>83</v>
      </c>
      <c r="D52" s="89" t="s">
        <v>218</v>
      </c>
      <c r="E52" s="105">
        <v>77992.0</v>
      </c>
      <c r="F52" s="106"/>
      <c r="G52" s="90">
        <v>100038.65</v>
      </c>
      <c r="H52" s="107">
        <v>100038.65</v>
      </c>
      <c r="I52" s="107">
        <v>0.0</v>
      </c>
    </row>
    <row r="53">
      <c r="A53" s="90" t="s">
        <v>814</v>
      </c>
      <c r="B53" s="88" t="s">
        <v>781</v>
      </c>
      <c r="C53" s="89" t="s">
        <v>120</v>
      </c>
      <c r="D53" s="89" t="s">
        <v>768</v>
      </c>
      <c r="E53" s="90" t="s">
        <v>810</v>
      </c>
      <c r="F53" s="106"/>
      <c r="G53" s="90">
        <v>38.65</v>
      </c>
      <c r="H53" s="107">
        <v>38.65</v>
      </c>
      <c r="I53" s="108">
        <v>-5.23883E-11</v>
      </c>
    </row>
    <row r="54">
      <c r="A54" s="90" t="s">
        <v>815</v>
      </c>
      <c r="B54" s="88" t="s">
        <v>782</v>
      </c>
      <c r="C54" s="89" t="s">
        <v>507</v>
      </c>
      <c r="D54" s="89" t="s">
        <v>109</v>
      </c>
      <c r="E54" s="106"/>
      <c r="F54" s="105">
        <v>51341.0</v>
      </c>
      <c r="G54" s="90">
        <v>51379.4</v>
      </c>
      <c r="H54" s="107">
        <v>51379.4</v>
      </c>
      <c r="I54" s="107">
        <v>0.0</v>
      </c>
    </row>
    <row r="55">
      <c r="A55" s="90" t="s">
        <v>815</v>
      </c>
      <c r="B55" s="88" t="s">
        <v>783</v>
      </c>
      <c r="C55" s="92" t="s">
        <v>92</v>
      </c>
      <c r="D55" s="92" t="s">
        <v>236</v>
      </c>
      <c r="E55" s="105">
        <v>3264.0</v>
      </c>
      <c r="F55" s="106"/>
      <c r="G55" s="90">
        <v>48115.4</v>
      </c>
      <c r="H55" s="107">
        <v>48115.4</v>
      </c>
      <c r="I55" s="107">
        <v>0.0</v>
      </c>
    </row>
    <row r="56">
      <c r="A56" s="90" t="s">
        <v>816</v>
      </c>
      <c r="B56" s="88" t="s">
        <v>784</v>
      </c>
      <c r="C56" s="89" t="s">
        <v>118</v>
      </c>
      <c r="D56" s="12"/>
      <c r="E56" s="105">
        <v>40000.0</v>
      </c>
      <c r="F56" s="106"/>
      <c r="G56" s="90">
        <v>8115.4</v>
      </c>
      <c r="H56" s="107">
        <v>8115.4</v>
      </c>
      <c r="I56" s="108">
        <v>-5.27507E-11</v>
      </c>
    </row>
    <row r="57">
      <c r="A57" s="90" t="s">
        <v>817</v>
      </c>
      <c r="B57" s="88" t="s">
        <v>785</v>
      </c>
      <c r="C57" s="89" t="s">
        <v>97</v>
      </c>
      <c r="D57" s="92" t="s">
        <v>427</v>
      </c>
      <c r="E57" s="90">
        <v>896.0</v>
      </c>
      <c r="F57" s="106"/>
      <c r="G57" s="90">
        <v>7218.96</v>
      </c>
      <c r="H57" s="107">
        <v>7218.96</v>
      </c>
      <c r="I57" s="108">
        <v>-5.18412E-11</v>
      </c>
    </row>
    <row r="58">
      <c r="A58" s="90" t="s">
        <v>818</v>
      </c>
      <c r="B58" s="89" t="s">
        <v>786</v>
      </c>
      <c r="C58" s="89" t="s">
        <v>118</v>
      </c>
      <c r="D58" s="12"/>
      <c r="E58" s="105">
        <v>1200.0</v>
      </c>
      <c r="F58" s="106"/>
      <c r="G58" s="90">
        <v>6018.96</v>
      </c>
      <c r="H58" s="107">
        <v>6018.96</v>
      </c>
      <c r="I58" s="108">
        <v>-5.18412E-11</v>
      </c>
    </row>
    <row r="59">
      <c r="A59" s="90" t="s">
        <v>819</v>
      </c>
      <c r="B59" s="88" t="s">
        <v>787</v>
      </c>
      <c r="C59" s="89" t="s">
        <v>118</v>
      </c>
      <c r="D59" s="12"/>
      <c r="E59" s="90">
        <v>500.0</v>
      </c>
      <c r="F59" s="106"/>
      <c r="G59" s="90">
        <v>5518.96</v>
      </c>
      <c r="H59" s="107">
        <v>5518.96</v>
      </c>
      <c r="I59" s="108">
        <v>-5.18412E-11</v>
      </c>
    </row>
    <row r="60">
      <c r="A60" s="90" t="s">
        <v>819</v>
      </c>
      <c r="B60" s="88" t="s">
        <v>788</v>
      </c>
      <c r="C60" s="89" t="s">
        <v>98</v>
      </c>
      <c r="D60" s="89" t="s">
        <v>725</v>
      </c>
      <c r="E60" s="105">
        <v>2000.0</v>
      </c>
      <c r="F60" s="106"/>
      <c r="G60" s="90">
        <v>3518.96</v>
      </c>
      <c r="H60" s="107">
        <v>3518.96</v>
      </c>
      <c r="I60" s="108">
        <v>-5.18412E-11</v>
      </c>
    </row>
    <row r="61">
      <c r="A61" s="90" t="s">
        <v>819</v>
      </c>
      <c r="B61" s="88" t="s">
        <v>789</v>
      </c>
      <c r="C61" s="89" t="s">
        <v>118</v>
      </c>
      <c r="D61" s="12"/>
      <c r="E61" s="105">
        <v>3000.0</v>
      </c>
      <c r="F61" s="106"/>
      <c r="G61" s="90">
        <v>518.96</v>
      </c>
      <c r="H61" s="107">
        <v>518.96</v>
      </c>
      <c r="I61" s="108">
        <v>-5.18412E-11</v>
      </c>
    </row>
    <row r="62">
      <c r="A62" s="90" t="s">
        <v>819</v>
      </c>
      <c r="B62" s="88" t="s">
        <v>790</v>
      </c>
      <c r="C62" s="89" t="s">
        <v>118</v>
      </c>
      <c r="D62" s="12"/>
      <c r="E62" s="90">
        <v>56.0</v>
      </c>
      <c r="F62" s="106"/>
      <c r="G62" s="90">
        <v>462.96</v>
      </c>
      <c r="H62" s="107">
        <v>462.96</v>
      </c>
      <c r="I62" s="108">
        <v>-5.1898E-11</v>
      </c>
    </row>
    <row r="63">
      <c r="A63" s="90" t="s">
        <v>820</v>
      </c>
      <c r="B63" s="89" t="s">
        <v>791</v>
      </c>
      <c r="C63" s="89" t="s">
        <v>97</v>
      </c>
      <c r="D63" s="92" t="s">
        <v>792</v>
      </c>
      <c r="E63" s="90">
        <v>210.0</v>
      </c>
      <c r="F63" s="106"/>
      <c r="G63" s="90">
        <v>252.96</v>
      </c>
      <c r="H63" s="107">
        <v>252.96</v>
      </c>
      <c r="I63" s="108">
        <v>-5.18696E-11</v>
      </c>
    </row>
    <row r="64">
      <c r="A64" s="90" t="s">
        <v>820</v>
      </c>
      <c r="B64" s="88" t="s">
        <v>793</v>
      </c>
      <c r="C64" s="89" t="s">
        <v>118</v>
      </c>
      <c r="D64" s="12"/>
      <c r="E64" s="90">
        <v>250.0</v>
      </c>
      <c r="F64" s="106"/>
      <c r="G64" s="90">
        <v>2.96</v>
      </c>
      <c r="H64" s="107">
        <v>2.96</v>
      </c>
      <c r="I64" s="108">
        <v>-5.18776E-11</v>
      </c>
    </row>
    <row r="65">
      <c r="A65" s="90" t="s">
        <v>820</v>
      </c>
      <c r="B65" s="88" t="s">
        <v>794</v>
      </c>
      <c r="C65" s="89" t="s">
        <v>104</v>
      </c>
      <c r="D65" s="12"/>
      <c r="E65" s="90">
        <v>3.0</v>
      </c>
      <c r="F65" s="106"/>
      <c r="G65" s="90">
        <v>0.0</v>
      </c>
      <c r="H65" s="108">
        <v>5.18776E-11</v>
      </c>
      <c r="I65" s="108">
        <v>-5.18776E-11</v>
      </c>
    </row>
    <row r="66">
      <c r="A66" s="90" t="s">
        <v>821</v>
      </c>
      <c r="B66" s="88" t="s">
        <v>795</v>
      </c>
      <c r="C66" s="89" t="s">
        <v>173</v>
      </c>
      <c r="D66" s="89" t="s">
        <v>110</v>
      </c>
      <c r="E66" s="106"/>
      <c r="F66" s="105">
        <v>24951.0</v>
      </c>
      <c r="G66" s="90">
        <v>24950.73</v>
      </c>
      <c r="H66" s="107">
        <v>24950.73</v>
      </c>
      <c r="I66" s="108">
        <v>-5.09317E-11</v>
      </c>
    </row>
    <row r="67">
      <c r="A67" s="90" t="s">
        <v>821</v>
      </c>
      <c r="B67" s="88" t="s">
        <v>796</v>
      </c>
      <c r="C67" s="89" t="s">
        <v>120</v>
      </c>
      <c r="D67" s="89" t="s">
        <v>197</v>
      </c>
      <c r="E67" s="105">
        <v>20000.0</v>
      </c>
      <c r="F67" s="106"/>
      <c r="G67" s="90">
        <v>4950.73</v>
      </c>
      <c r="H67" s="107">
        <v>4950.73</v>
      </c>
      <c r="I67" s="108">
        <v>-5.09317E-11</v>
      </c>
    </row>
    <row r="68">
      <c r="A68" s="90" t="s">
        <v>821</v>
      </c>
      <c r="B68" s="88" t="s">
        <v>797</v>
      </c>
      <c r="C68" s="89" t="s">
        <v>118</v>
      </c>
      <c r="D68" s="12"/>
      <c r="E68" s="90">
        <v>649.0</v>
      </c>
      <c r="F68" s="106"/>
      <c r="G68" s="90">
        <v>4301.73</v>
      </c>
      <c r="H68" s="107">
        <v>4301.73</v>
      </c>
      <c r="I68" s="108">
        <v>-5.09317E-11</v>
      </c>
    </row>
    <row r="69">
      <c r="A69" s="90" t="s">
        <v>822</v>
      </c>
      <c r="B69" s="88" t="s">
        <v>798</v>
      </c>
      <c r="C69" s="89" t="s">
        <v>118</v>
      </c>
      <c r="D69" s="12"/>
      <c r="E69" s="105">
        <v>4000.0</v>
      </c>
      <c r="F69" s="106"/>
      <c r="G69" s="90">
        <v>301.73</v>
      </c>
      <c r="H69" s="107">
        <v>301.73</v>
      </c>
      <c r="I69" s="108">
        <v>-5.0477E-11</v>
      </c>
    </row>
    <row r="70">
      <c r="E70" s="110"/>
      <c r="F70" s="110"/>
    </row>
    <row r="71">
      <c r="E71" s="110"/>
      <c r="F71" s="110"/>
    </row>
    <row r="72">
      <c r="E72" s="110"/>
      <c r="F72" s="110"/>
    </row>
    <row r="73">
      <c r="E73" s="110"/>
      <c r="F73" s="110"/>
    </row>
    <row r="74">
      <c r="E74" s="110"/>
      <c r="F74" s="110"/>
    </row>
    <row r="75">
      <c r="E75" s="110"/>
      <c r="F75" s="110"/>
    </row>
    <row r="76">
      <c r="E76" s="110"/>
      <c r="F76" s="110"/>
    </row>
    <row r="77">
      <c r="E77" s="110"/>
      <c r="F77" s="110"/>
    </row>
    <row r="78">
      <c r="E78" s="110"/>
      <c r="F78" s="110"/>
    </row>
    <row r="79">
      <c r="E79" s="110"/>
      <c r="F79" s="110"/>
    </row>
    <row r="80">
      <c r="E80" s="110"/>
      <c r="F80" s="110"/>
    </row>
    <row r="81">
      <c r="E81" s="110"/>
      <c r="F81" s="110"/>
    </row>
    <row r="82">
      <c r="E82" s="110"/>
      <c r="F82" s="110"/>
    </row>
    <row r="83">
      <c r="E83" s="110"/>
      <c r="F83" s="110"/>
    </row>
    <row r="84">
      <c r="E84" s="110"/>
      <c r="F84" s="110"/>
    </row>
    <row r="85">
      <c r="E85" s="110"/>
      <c r="F85" s="110"/>
    </row>
    <row r="86">
      <c r="E86" s="110"/>
      <c r="F86" s="110"/>
    </row>
    <row r="87">
      <c r="E87" s="110"/>
      <c r="F87" s="110"/>
    </row>
    <row r="88">
      <c r="E88" s="110"/>
      <c r="F88" s="110"/>
    </row>
    <row r="89">
      <c r="E89" s="110"/>
      <c r="F89" s="110"/>
    </row>
    <row r="90">
      <c r="E90" s="110"/>
      <c r="F90" s="110"/>
    </row>
    <row r="91">
      <c r="E91" s="110"/>
      <c r="F91" s="110"/>
    </row>
    <row r="92">
      <c r="E92" s="110"/>
      <c r="F92" s="110"/>
    </row>
    <row r="93">
      <c r="E93" s="110"/>
      <c r="F93" s="110"/>
    </row>
    <row r="94">
      <c r="E94" s="110"/>
      <c r="F94" s="110"/>
    </row>
    <row r="95">
      <c r="E95" s="110"/>
      <c r="F95" s="110"/>
    </row>
    <row r="96">
      <c r="E96" s="110"/>
      <c r="F96" s="110"/>
    </row>
    <row r="97">
      <c r="E97" s="110"/>
      <c r="F97" s="110"/>
    </row>
    <row r="98">
      <c r="E98" s="110"/>
      <c r="F98" s="110"/>
    </row>
    <row r="99">
      <c r="E99" s="110"/>
      <c r="F99" s="110"/>
    </row>
    <row r="100">
      <c r="E100" s="110"/>
      <c r="F100" s="110"/>
    </row>
    <row r="101">
      <c r="E101" s="110"/>
      <c r="F101" s="110"/>
    </row>
    <row r="102">
      <c r="E102" s="110"/>
      <c r="F102" s="110"/>
    </row>
    <row r="103">
      <c r="E103" s="110"/>
      <c r="F103" s="110"/>
    </row>
    <row r="104">
      <c r="E104" s="110"/>
      <c r="F104" s="110"/>
    </row>
    <row r="105">
      <c r="E105" s="110"/>
      <c r="F105" s="110"/>
    </row>
    <row r="106">
      <c r="E106" s="110"/>
      <c r="F106" s="110"/>
    </row>
    <row r="107">
      <c r="E107" s="110"/>
      <c r="F107" s="110"/>
    </row>
    <row r="108">
      <c r="E108" s="110"/>
      <c r="F108" s="110"/>
    </row>
    <row r="109">
      <c r="E109" s="110"/>
      <c r="F109" s="110"/>
    </row>
    <row r="110">
      <c r="E110" s="110"/>
      <c r="F110" s="110"/>
    </row>
    <row r="111">
      <c r="E111" s="110"/>
      <c r="F111" s="110"/>
    </row>
    <row r="112">
      <c r="E112" s="110"/>
      <c r="F112" s="110"/>
    </row>
    <row r="113">
      <c r="E113" s="110"/>
      <c r="F113" s="110"/>
    </row>
    <row r="114">
      <c r="E114" s="110"/>
      <c r="F114" s="110"/>
    </row>
    <row r="115">
      <c r="E115" s="110"/>
      <c r="F115" s="110"/>
    </row>
    <row r="116">
      <c r="E116" s="110"/>
      <c r="F116" s="110"/>
    </row>
    <row r="117">
      <c r="E117" s="110"/>
      <c r="F117" s="110"/>
    </row>
    <row r="118">
      <c r="E118" s="110"/>
      <c r="F118" s="110"/>
    </row>
    <row r="119">
      <c r="E119" s="110"/>
      <c r="F119" s="110"/>
    </row>
    <row r="120">
      <c r="E120" s="110"/>
      <c r="F120" s="110"/>
    </row>
    <row r="121">
      <c r="E121" s="110"/>
      <c r="F121" s="110"/>
    </row>
    <row r="122">
      <c r="E122" s="110"/>
      <c r="F122" s="110"/>
    </row>
    <row r="123">
      <c r="E123" s="110"/>
      <c r="F123" s="110"/>
    </row>
    <row r="124">
      <c r="E124" s="110"/>
      <c r="F124" s="110"/>
    </row>
    <row r="125">
      <c r="E125" s="110"/>
      <c r="F125" s="110"/>
    </row>
    <row r="126">
      <c r="E126" s="110"/>
      <c r="F126" s="110"/>
    </row>
    <row r="127">
      <c r="E127" s="110"/>
      <c r="F127" s="110"/>
    </row>
    <row r="128">
      <c r="E128" s="110"/>
      <c r="F128" s="110"/>
    </row>
    <row r="129">
      <c r="E129" s="110"/>
      <c r="F129" s="110"/>
    </row>
    <row r="130">
      <c r="E130" s="110"/>
      <c r="F130" s="110"/>
    </row>
    <row r="131">
      <c r="E131" s="110"/>
      <c r="F131" s="110"/>
    </row>
    <row r="132">
      <c r="E132" s="110"/>
      <c r="F132" s="110"/>
    </row>
    <row r="133">
      <c r="E133" s="110"/>
      <c r="F133" s="110"/>
    </row>
    <row r="134">
      <c r="E134" s="110"/>
      <c r="F134" s="110"/>
    </row>
    <row r="135">
      <c r="E135" s="110"/>
      <c r="F135" s="110"/>
    </row>
    <row r="136">
      <c r="E136" s="110"/>
      <c r="F136" s="110"/>
    </row>
    <row r="137">
      <c r="E137" s="110"/>
      <c r="F137" s="110"/>
    </row>
    <row r="138">
      <c r="E138" s="110"/>
      <c r="F138" s="110"/>
    </row>
    <row r="139">
      <c r="E139" s="110"/>
      <c r="F139" s="110"/>
    </row>
    <row r="140">
      <c r="E140" s="110"/>
      <c r="F140" s="110"/>
    </row>
    <row r="141">
      <c r="E141" s="110"/>
      <c r="F141" s="110"/>
    </row>
    <row r="142">
      <c r="E142" s="110"/>
      <c r="F142" s="110"/>
    </row>
    <row r="143">
      <c r="E143" s="110"/>
      <c r="F143" s="110"/>
    </row>
    <row r="144">
      <c r="E144" s="110"/>
      <c r="F144" s="110"/>
    </row>
    <row r="145">
      <c r="E145" s="110"/>
      <c r="F145" s="110"/>
    </row>
    <row r="146">
      <c r="E146" s="110"/>
      <c r="F146" s="110"/>
    </row>
    <row r="147">
      <c r="E147" s="110"/>
      <c r="F147" s="110"/>
    </row>
    <row r="148">
      <c r="E148" s="110"/>
      <c r="F148" s="110"/>
    </row>
    <row r="149">
      <c r="E149" s="110"/>
      <c r="F149" s="110"/>
    </row>
    <row r="150">
      <c r="E150" s="110"/>
      <c r="F150" s="110"/>
    </row>
    <row r="151">
      <c r="E151" s="110"/>
      <c r="F151" s="110"/>
    </row>
    <row r="152">
      <c r="E152" s="110"/>
      <c r="F152" s="110"/>
    </row>
    <row r="153">
      <c r="E153" s="110"/>
      <c r="F153" s="110"/>
    </row>
    <row r="154">
      <c r="E154" s="110"/>
      <c r="F154" s="110"/>
    </row>
    <row r="155">
      <c r="E155" s="110"/>
      <c r="F155" s="110"/>
    </row>
    <row r="156">
      <c r="E156" s="110"/>
      <c r="F156" s="110"/>
    </row>
    <row r="157">
      <c r="E157" s="110"/>
      <c r="F157" s="110"/>
    </row>
    <row r="158">
      <c r="E158" s="110"/>
      <c r="F158" s="110"/>
    </row>
    <row r="159">
      <c r="E159" s="110"/>
      <c r="F159" s="110"/>
    </row>
    <row r="160">
      <c r="E160" s="110"/>
      <c r="F160" s="110"/>
    </row>
    <row r="161">
      <c r="E161" s="110"/>
      <c r="F161" s="110"/>
    </row>
    <row r="162">
      <c r="E162" s="110"/>
      <c r="F162" s="110"/>
    </row>
    <row r="163">
      <c r="E163" s="110"/>
      <c r="F163" s="110"/>
    </row>
    <row r="164">
      <c r="E164" s="110"/>
      <c r="F164" s="110"/>
    </row>
    <row r="165">
      <c r="E165" s="110"/>
      <c r="F165" s="110"/>
    </row>
    <row r="166">
      <c r="E166" s="110"/>
      <c r="F166" s="110"/>
    </row>
    <row r="167">
      <c r="E167" s="110"/>
      <c r="F167" s="110"/>
    </row>
    <row r="168">
      <c r="E168" s="110"/>
      <c r="F168" s="110"/>
    </row>
    <row r="169">
      <c r="E169" s="110"/>
      <c r="F169" s="110"/>
    </row>
    <row r="170">
      <c r="E170" s="110"/>
      <c r="F170" s="110"/>
    </row>
    <row r="171">
      <c r="E171" s="110"/>
      <c r="F171" s="110"/>
    </row>
    <row r="172">
      <c r="E172" s="110"/>
      <c r="F172" s="110"/>
    </row>
    <row r="173">
      <c r="E173" s="110"/>
      <c r="F173" s="110"/>
    </row>
    <row r="174">
      <c r="E174" s="110"/>
      <c r="F174" s="110"/>
    </row>
    <row r="175">
      <c r="E175" s="110"/>
      <c r="F175" s="110"/>
    </row>
    <row r="176">
      <c r="E176" s="110"/>
      <c r="F176" s="110"/>
    </row>
    <row r="177">
      <c r="E177" s="110"/>
      <c r="F177" s="110"/>
    </row>
    <row r="178">
      <c r="E178" s="110"/>
      <c r="F178" s="110"/>
    </row>
    <row r="179">
      <c r="E179" s="110"/>
      <c r="F179" s="110"/>
    </row>
    <row r="180">
      <c r="E180" s="110"/>
      <c r="F180" s="110"/>
    </row>
    <row r="181">
      <c r="E181" s="110"/>
      <c r="F181" s="110"/>
    </row>
    <row r="182">
      <c r="E182" s="110"/>
      <c r="F182" s="110"/>
    </row>
    <row r="183">
      <c r="E183" s="110"/>
      <c r="F183" s="110"/>
    </row>
    <row r="184">
      <c r="E184" s="110"/>
      <c r="F184" s="110"/>
    </row>
    <row r="185">
      <c r="E185" s="110"/>
      <c r="F185" s="110"/>
    </row>
    <row r="186">
      <c r="E186" s="110"/>
      <c r="F186" s="110"/>
    </row>
    <row r="187">
      <c r="E187" s="110"/>
      <c r="F187" s="110"/>
    </row>
    <row r="188">
      <c r="E188" s="110"/>
      <c r="F188" s="110"/>
    </row>
    <row r="189">
      <c r="E189" s="110"/>
      <c r="F189" s="110"/>
    </row>
    <row r="190">
      <c r="E190" s="110"/>
      <c r="F190" s="110"/>
    </row>
    <row r="191">
      <c r="E191" s="110"/>
      <c r="F191" s="110"/>
    </row>
    <row r="192">
      <c r="E192" s="110"/>
      <c r="F192" s="110"/>
    </row>
    <row r="193">
      <c r="E193" s="110"/>
      <c r="F193" s="110"/>
    </row>
    <row r="194">
      <c r="E194" s="110"/>
      <c r="F194" s="110"/>
    </row>
    <row r="195">
      <c r="E195" s="110"/>
      <c r="F195" s="110"/>
    </row>
    <row r="196">
      <c r="E196" s="110"/>
      <c r="F196" s="110"/>
    </row>
    <row r="197">
      <c r="E197" s="110"/>
      <c r="F197" s="110"/>
    </row>
    <row r="198">
      <c r="E198" s="110"/>
      <c r="F198" s="110"/>
    </row>
    <row r="199">
      <c r="E199" s="110"/>
      <c r="F199" s="110"/>
    </row>
    <row r="200">
      <c r="E200" s="110"/>
      <c r="F200" s="110"/>
    </row>
    <row r="201">
      <c r="E201" s="110"/>
      <c r="F201" s="110"/>
    </row>
    <row r="202">
      <c r="E202" s="110"/>
      <c r="F202" s="110"/>
    </row>
    <row r="203">
      <c r="E203" s="110"/>
      <c r="F203" s="110"/>
    </row>
    <row r="204">
      <c r="E204" s="110"/>
      <c r="F204" s="110"/>
    </row>
    <row r="205">
      <c r="E205" s="110"/>
      <c r="F205" s="110"/>
    </row>
    <row r="206">
      <c r="E206" s="110"/>
      <c r="F206" s="110"/>
    </row>
    <row r="207">
      <c r="E207" s="110"/>
      <c r="F207" s="110"/>
    </row>
    <row r="208">
      <c r="E208" s="110"/>
      <c r="F208" s="110"/>
    </row>
    <row r="209">
      <c r="E209" s="110"/>
      <c r="F209" s="110"/>
    </row>
    <row r="210">
      <c r="E210" s="110"/>
      <c r="F210" s="110"/>
    </row>
    <row r="211">
      <c r="E211" s="110"/>
      <c r="F211" s="110"/>
    </row>
    <row r="212">
      <c r="E212" s="110"/>
      <c r="F212" s="110"/>
    </row>
    <row r="213">
      <c r="E213" s="110"/>
      <c r="F213" s="110"/>
    </row>
    <row r="214">
      <c r="E214" s="110"/>
      <c r="F214" s="110"/>
    </row>
    <row r="215">
      <c r="E215" s="110"/>
      <c r="F215" s="110"/>
    </row>
    <row r="216">
      <c r="E216" s="110"/>
      <c r="F216" s="110"/>
    </row>
    <row r="217">
      <c r="E217" s="110"/>
      <c r="F217" s="110"/>
    </row>
    <row r="218">
      <c r="E218" s="110"/>
      <c r="F218" s="110"/>
    </row>
    <row r="219">
      <c r="E219" s="110"/>
      <c r="F219" s="110"/>
    </row>
    <row r="220">
      <c r="E220" s="110"/>
      <c r="F220" s="110"/>
    </row>
    <row r="221">
      <c r="E221" s="110"/>
      <c r="F221" s="110"/>
    </row>
    <row r="222">
      <c r="E222" s="110"/>
      <c r="F222" s="110"/>
    </row>
    <row r="223">
      <c r="E223" s="110"/>
      <c r="F223" s="110"/>
    </row>
    <row r="224">
      <c r="E224" s="110"/>
      <c r="F224" s="110"/>
    </row>
    <row r="225">
      <c r="E225" s="110"/>
      <c r="F225" s="110"/>
    </row>
    <row r="226">
      <c r="E226" s="110"/>
      <c r="F226" s="110"/>
    </row>
    <row r="227">
      <c r="E227" s="110"/>
      <c r="F227" s="110"/>
    </row>
    <row r="228">
      <c r="E228" s="110"/>
      <c r="F228" s="110"/>
    </row>
    <row r="229">
      <c r="E229" s="110"/>
      <c r="F229" s="110"/>
    </row>
    <row r="230">
      <c r="E230" s="110"/>
      <c r="F230" s="110"/>
    </row>
    <row r="231">
      <c r="E231" s="110"/>
      <c r="F231" s="110"/>
    </row>
    <row r="232">
      <c r="E232" s="110"/>
      <c r="F232" s="110"/>
    </row>
    <row r="233">
      <c r="E233" s="110"/>
      <c r="F233" s="110"/>
    </row>
    <row r="234">
      <c r="E234" s="110"/>
      <c r="F234" s="110"/>
    </row>
    <row r="235">
      <c r="E235" s="110"/>
      <c r="F235" s="110"/>
    </row>
    <row r="236">
      <c r="E236" s="110"/>
      <c r="F236" s="110"/>
    </row>
    <row r="237">
      <c r="E237" s="110"/>
      <c r="F237" s="110"/>
    </row>
    <row r="238">
      <c r="E238" s="110"/>
      <c r="F238" s="110"/>
    </row>
    <row r="239">
      <c r="E239" s="110"/>
      <c r="F239" s="110"/>
    </row>
    <row r="240">
      <c r="E240" s="110"/>
      <c r="F240" s="110"/>
    </row>
    <row r="241">
      <c r="E241" s="110"/>
      <c r="F241" s="110"/>
    </row>
    <row r="242">
      <c r="E242" s="110"/>
      <c r="F242" s="110"/>
    </row>
    <row r="243">
      <c r="E243" s="110"/>
      <c r="F243" s="110"/>
    </row>
    <row r="244">
      <c r="E244" s="110"/>
      <c r="F244" s="110"/>
    </row>
    <row r="245">
      <c r="E245" s="110"/>
      <c r="F245" s="110"/>
    </row>
    <row r="246">
      <c r="E246" s="110"/>
      <c r="F246" s="110"/>
    </row>
    <row r="247">
      <c r="E247" s="110"/>
      <c r="F247" s="110"/>
    </row>
    <row r="248">
      <c r="E248" s="110"/>
      <c r="F248" s="110"/>
    </row>
    <row r="249">
      <c r="E249" s="110"/>
      <c r="F249" s="110"/>
    </row>
    <row r="250">
      <c r="E250" s="110"/>
      <c r="F250" s="110"/>
    </row>
    <row r="251">
      <c r="E251" s="110"/>
      <c r="F251" s="110"/>
    </row>
    <row r="252">
      <c r="E252" s="110"/>
      <c r="F252" s="110"/>
    </row>
    <row r="253">
      <c r="E253" s="110"/>
      <c r="F253" s="110"/>
    </row>
    <row r="254">
      <c r="E254" s="110"/>
      <c r="F254" s="110"/>
    </row>
    <row r="255">
      <c r="E255" s="110"/>
      <c r="F255" s="110"/>
    </row>
    <row r="256">
      <c r="E256" s="110"/>
      <c r="F256" s="110"/>
    </row>
    <row r="257">
      <c r="E257" s="110"/>
      <c r="F257" s="110"/>
    </row>
    <row r="258">
      <c r="E258" s="110"/>
      <c r="F258" s="110"/>
    </row>
    <row r="259">
      <c r="E259" s="110"/>
      <c r="F259" s="110"/>
    </row>
    <row r="260">
      <c r="E260" s="110"/>
      <c r="F260" s="110"/>
    </row>
    <row r="261">
      <c r="E261" s="110"/>
      <c r="F261" s="110"/>
    </row>
    <row r="262">
      <c r="E262" s="110"/>
      <c r="F262" s="110"/>
    </row>
    <row r="263">
      <c r="E263" s="110"/>
      <c r="F263" s="110"/>
    </row>
    <row r="264">
      <c r="E264" s="110"/>
      <c r="F264" s="110"/>
    </row>
    <row r="265">
      <c r="E265" s="110"/>
      <c r="F265" s="110"/>
    </row>
    <row r="266">
      <c r="E266" s="110"/>
      <c r="F266" s="110"/>
    </row>
    <row r="267">
      <c r="E267" s="110"/>
      <c r="F267" s="110"/>
    </row>
    <row r="268">
      <c r="E268" s="110"/>
      <c r="F268" s="110"/>
    </row>
    <row r="269">
      <c r="E269" s="110"/>
      <c r="F269" s="110"/>
    </row>
    <row r="270">
      <c r="E270" s="110"/>
      <c r="F270" s="110"/>
    </row>
    <row r="271">
      <c r="E271" s="110"/>
      <c r="F271" s="110"/>
    </row>
    <row r="272">
      <c r="E272" s="110"/>
      <c r="F272" s="110"/>
    </row>
    <row r="273">
      <c r="E273" s="110"/>
      <c r="F273" s="110"/>
    </row>
    <row r="274">
      <c r="E274" s="110"/>
      <c r="F274" s="110"/>
    </row>
    <row r="275">
      <c r="E275" s="110"/>
      <c r="F275" s="110"/>
    </row>
    <row r="276">
      <c r="E276" s="110"/>
      <c r="F276" s="110"/>
    </row>
    <row r="277">
      <c r="E277" s="110"/>
      <c r="F277" s="110"/>
    </row>
    <row r="278">
      <c r="E278" s="110"/>
      <c r="F278" s="110"/>
    </row>
    <row r="279">
      <c r="E279" s="110"/>
      <c r="F279" s="110"/>
    </row>
    <row r="280">
      <c r="E280" s="110"/>
      <c r="F280" s="110"/>
    </row>
    <row r="281">
      <c r="E281" s="110"/>
      <c r="F281" s="110"/>
    </row>
    <row r="282">
      <c r="E282" s="110"/>
      <c r="F282" s="110"/>
    </row>
    <row r="283">
      <c r="E283" s="110"/>
      <c r="F283" s="110"/>
    </row>
    <row r="284">
      <c r="E284" s="110"/>
      <c r="F284" s="110"/>
    </row>
    <row r="285">
      <c r="E285" s="110"/>
      <c r="F285" s="110"/>
    </row>
    <row r="286">
      <c r="E286" s="110"/>
      <c r="F286" s="110"/>
    </row>
    <row r="287">
      <c r="E287" s="110"/>
      <c r="F287" s="110"/>
    </row>
    <row r="288">
      <c r="E288" s="110"/>
      <c r="F288" s="110"/>
    </row>
    <row r="289">
      <c r="E289" s="110"/>
      <c r="F289" s="110"/>
    </row>
    <row r="290">
      <c r="E290" s="110"/>
      <c r="F290" s="110"/>
    </row>
    <row r="291">
      <c r="E291" s="110"/>
      <c r="F291" s="110"/>
    </row>
    <row r="292">
      <c r="E292" s="110"/>
      <c r="F292" s="110"/>
    </row>
    <row r="293">
      <c r="E293" s="110"/>
      <c r="F293" s="110"/>
    </row>
    <row r="294">
      <c r="E294" s="110"/>
      <c r="F294" s="110"/>
    </row>
    <row r="295">
      <c r="E295" s="110"/>
      <c r="F295" s="110"/>
    </row>
    <row r="296">
      <c r="E296" s="110"/>
      <c r="F296" s="110"/>
    </row>
    <row r="297">
      <c r="E297" s="110"/>
      <c r="F297" s="110"/>
    </row>
    <row r="298">
      <c r="E298" s="110"/>
      <c r="F298" s="110"/>
    </row>
    <row r="299">
      <c r="E299" s="110"/>
      <c r="F299" s="110"/>
    </row>
    <row r="300">
      <c r="E300" s="110"/>
      <c r="F300" s="110"/>
    </row>
    <row r="301">
      <c r="E301" s="110"/>
      <c r="F301" s="110"/>
    </row>
    <row r="302">
      <c r="E302" s="110"/>
      <c r="F302" s="110"/>
    </row>
    <row r="303">
      <c r="E303" s="110"/>
      <c r="F303" s="110"/>
    </row>
    <row r="304">
      <c r="E304" s="110"/>
      <c r="F304" s="110"/>
    </row>
    <row r="305">
      <c r="E305" s="110"/>
      <c r="F305" s="110"/>
    </row>
    <row r="306">
      <c r="E306" s="110"/>
      <c r="F306" s="110"/>
    </row>
    <row r="307">
      <c r="E307" s="110"/>
      <c r="F307" s="110"/>
    </row>
    <row r="308">
      <c r="E308" s="110"/>
      <c r="F308" s="110"/>
    </row>
    <row r="309">
      <c r="E309" s="110"/>
      <c r="F309" s="110"/>
    </row>
    <row r="310">
      <c r="E310" s="110"/>
      <c r="F310" s="110"/>
    </row>
    <row r="311">
      <c r="E311" s="110"/>
      <c r="F311" s="110"/>
    </row>
    <row r="312">
      <c r="E312" s="110"/>
      <c r="F312" s="110"/>
    </row>
    <row r="313">
      <c r="E313" s="110"/>
      <c r="F313" s="110"/>
    </row>
    <row r="314">
      <c r="E314" s="110"/>
      <c r="F314" s="110"/>
    </row>
    <row r="315">
      <c r="E315" s="110"/>
      <c r="F315" s="110"/>
    </row>
    <row r="316">
      <c r="E316" s="110"/>
      <c r="F316" s="110"/>
    </row>
    <row r="317">
      <c r="E317" s="110"/>
      <c r="F317" s="110"/>
    </row>
    <row r="318">
      <c r="E318" s="110"/>
      <c r="F318" s="110"/>
    </row>
    <row r="319">
      <c r="E319" s="110"/>
      <c r="F319" s="110"/>
    </row>
    <row r="320">
      <c r="E320" s="110"/>
      <c r="F320" s="110"/>
    </row>
    <row r="321">
      <c r="E321" s="110"/>
      <c r="F321" s="110"/>
    </row>
    <row r="322">
      <c r="E322" s="110"/>
      <c r="F322" s="110"/>
    </row>
    <row r="323">
      <c r="E323" s="110"/>
      <c r="F323" s="110"/>
    </row>
    <row r="324">
      <c r="E324" s="110"/>
      <c r="F324" s="110"/>
    </row>
    <row r="325">
      <c r="E325" s="110"/>
      <c r="F325" s="110"/>
    </row>
    <row r="326">
      <c r="E326" s="110"/>
      <c r="F326" s="110"/>
    </row>
    <row r="327">
      <c r="E327" s="110"/>
      <c r="F327" s="110"/>
    </row>
    <row r="328">
      <c r="E328" s="110"/>
      <c r="F328" s="110"/>
    </row>
    <row r="329">
      <c r="E329" s="110"/>
      <c r="F329" s="110"/>
    </row>
    <row r="330">
      <c r="E330" s="110"/>
      <c r="F330" s="110"/>
    </row>
    <row r="331">
      <c r="E331" s="110"/>
      <c r="F331" s="110"/>
    </row>
    <row r="332">
      <c r="E332" s="110"/>
      <c r="F332" s="110"/>
    </row>
    <row r="333">
      <c r="E333" s="110"/>
      <c r="F333" s="110"/>
    </row>
    <row r="334">
      <c r="E334" s="110"/>
      <c r="F334" s="110"/>
    </row>
    <row r="335">
      <c r="E335" s="110"/>
      <c r="F335" s="110"/>
    </row>
    <row r="336">
      <c r="E336" s="110"/>
      <c r="F336" s="110"/>
    </row>
    <row r="337">
      <c r="E337" s="110"/>
      <c r="F337" s="110"/>
    </row>
    <row r="338">
      <c r="E338" s="110"/>
      <c r="F338" s="110"/>
    </row>
    <row r="339">
      <c r="E339" s="110"/>
      <c r="F339" s="110"/>
    </row>
    <row r="340">
      <c r="E340" s="110"/>
      <c r="F340" s="110"/>
    </row>
    <row r="341">
      <c r="E341" s="110"/>
      <c r="F341" s="110"/>
    </row>
    <row r="342">
      <c r="E342" s="110"/>
      <c r="F342" s="110"/>
    </row>
    <row r="343">
      <c r="E343" s="110"/>
      <c r="F343" s="110"/>
    </row>
    <row r="344">
      <c r="E344" s="110"/>
      <c r="F344" s="110"/>
    </row>
    <row r="345">
      <c r="E345" s="110"/>
      <c r="F345" s="110"/>
    </row>
    <row r="346">
      <c r="E346" s="110"/>
      <c r="F346" s="110"/>
    </row>
    <row r="347">
      <c r="E347" s="110"/>
      <c r="F347" s="110"/>
    </row>
    <row r="348">
      <c r="E348" s="110"/>
      <c r="F348" s="110"/>
    </row>
    <row r="349">
      <c r="E349" s="110"/>
      <c r="F349" s="110"/>
    </row>
    <row r="350">
      <c r="E350" s="110"/>
      <c r="F350" s="110"/>
    </row>
    <row r="351">
      <c r="E351" s="110"/>
      <c r="F351" s="110"/>
    </row>
    <row r="352">
      <c r="E352" s="110"/>
      <c r="F352" s="110"/>
    </row>
    <row r="353">
      <c r="E353" s="110"/>
      <c r="F353" s="110"/>
    </row>
    <row r="354">
      <c r="E354" s="110"/>
      <c r="F354" s="110"/>
    </row>
    <row r="355">
      <c r="E355" s="110"/>
      <c r="F355" s="110"/>
    </row>
    <row r="356">
      <c r="E356" s="110"/>
      <c r="F356" s="110"/>
    </row>
    <row r="357">
      <c r="E357" s="110"/>
      <c r="F357" s="110"/>
    </row>
    <row r="358">
      <c r="E358" s="110"/>
      <c r="F358" s="110"/>
    </row>
    <row r="359">
      <c r="E359" s="110"/>
      <c r="F359" s="110"/>
    </row>
    <row r="360">
      <c r="E360" s="110"/>
      <c r="F360" s="110"/>
    </row>
    <row r="361">
      <c r="E361" s="110"/>
      <c r="F361" s="110"/>
    </row>
    <row r="362">
      <c r="E362" s="110"/>
      <c r="F362" s="110"/>
    </row>
    <row r="363">
      <c r="E363" s="110"/>
      <c r="F363" s="110"/>
    </row>
    <row r="364">
      <c r="E364" s="110"/>
      <c r="F364" s="110"/>
    </row>
    <row r="365">
      <c r="E365" s="110"/>
      <c r="F365" s="110"/>
    </row>
    <row r="366">
      <c r="E366" s="110"/>
      <c r="F366" s="110"/>
    </row>
    <row r="367">
      <c r="E367" s="110"/>
      <c r="F367" s="110"/>
    </row>
    <row r="368">
      <c r="E368" s="110"/>
      <c r="F368" s="110"/>
    </row>
    <row r="369">
      <c r="E369" s="110"/>
      <c r="F369" s="110"/>
    </row>
    <row r="370">
      <c r="E370" s="110"/>
      <c r="F370" s="110"/>
    </row>
    <row r="371">
      <c r="E371" s="110"/>
      <c r="F371" s="110"/>
    </row>
    <row r="372">
      <c r="E372" s="110"/>
      <c r="F372" s="110"/>
    </row>
    <row r="373">
      <c r="E373" s="110"/>
      <c r="F373" s="110"/>
    </row>
    <row r="374">
      <c r="E374" s="110"/>
      <c r="F374" s="110"/>
    </row>
    <row r="375">
      <c r="E375" s="110"/>
      <c r="F375" s="110"/>
    </row>
    <row r="376">
      <c r="E376" s="110"/>
      <c r="F376" s="110"/>
    </row>
    <row r="377">
      <c r="E377" s="110"/>
      <c r="F377" s="110"/>
    </row>
    <row r="378">
      <c r="E378" s="110"/>
      <c r="F378" s="110"/>
    </row>
    <row r="379">
      <c r="E379" s="110"/>
      <c r="F379" s="110"/>
    </row>
    <row r="380">
      <c r="E380" s="110"/>
      <c r="F380" s="110"/>
    </row>
    <row r="381">
      <c r="E381" s="110"/>
      <c r="F381" s="110"/>
    </row>
    <row r="382">
      <c r="E382" s="110"/>
      <c r="F382" s="110"/>
    </row>
    <row r="383">
      <c r="E383" s="110"/>
      <c r="F383" s="110"/>
    </row>
    <row r="384">
      <c r="E384" s="110"/>
      <c r="F384" s="110"/>
    </row>
    <row r="385">
      <c r="E385" s="110"/>
      <c r="F385" s="110"/>
    </row>
    <row r="386">
      <c r="E386" s="110"/>
      <c r="F386" s="110"/>
    </row>
    <row r="387">
      <c r="E387" s="110"/>
      <c r="F387" s="110"/>
    </row>
    <row r="388">
      <c r="E388" s="110"/>
      <c r="F388" s="110"/>
    </row>
    <row r="389">
      <c r="E389" s="110"/>
      <c r="F389" s="110"/>
    </row>
    <row r="390">
      <c r="E390" s="110"/>
      <c r="F390" s="110"/>
    </row>
    <row r="391">
      <c r="E391" s="110"/>
      <c r="F391" s="110"/>
    </row>
    <row r="392">
      <c r="E392" s="110"/>
      <c r="F392" s="110"/>
    </row>
    <row r="393">
      <c r="E393" s="110"/>
      <c r="F393" s="110"/>
    </row>
    <row r="394">
      <c r="E394" s="110"/>
      <c r="F394" s="110"/>
    </row>
    <row r="395">
      <c r="E395" s="110"/>
      <c r="F395" s="110"/>
    </row>
    <row r="396">
      <c r="E396" s="110"/>
      <c r="F396" s="110"/>
    </row>
    <row r="397">
      <c r="E397" s="110"/>
      <c r="F397" s="110"/>
    </row>
    <row r="398">
      <c r="E398" s="110"/>
      <c r="F398" s="110"/>
    </row>
    <row r="399">
      <c r="E399" s="110"/>
      <c r="F399" s="110"/>
    </row>
    <row r="400">
      <c r="E400" s="110"/>
      <c r="F400" s="110"/>
    </row>
    <row r="401">
      <c r="E401" s="110"/>
      <c r="F401" s="110"/>
    </row>
    <row r="402">
      <c r="E402" s="110"/>
      <c r="F402" s="110"/>
    </row>
    <row r="403">
      <c r="E403" s="110"/>
      <c r="F403" s="110"/>
    </row>
    <row r="404">
      <c r="E404" s="110"/>
      <c r="F404" s="110"/>
    </row>
    <row r="405">
      <c r="E405" s="110"/>
      <c r="F405" s="110"/>
    </row>
    <row r="406">
      <c r="E406" s="110"/>
      <c r="F406" s="110"/>
    </row>
    <row r="407">
      <c r="E407" s="110"/>
      <c r="F407" s="110"/>
    </row>
    <row r="408">
      <c r="E408" s="110"/>
      <c r="F408" s="110"/>
    </row>
    <row r="409">
      <c r="E409" s="110"/>
      <c r="F409" s="110"/>
    </row>
    <row r="410">
      <c r="E410" s="110"/>
      <c r="F410" s="110"/>
    </row>
    <row r="411">
      <c r="E411" s="110"/>
      <c r="F411" s="110"/>
    </row>
    <row r="412">
      <c r="E412" s="110"/>
      <c r="F412" s="110"/>
    </row>
    <row r="413">
      <c r="E413" s="110"/>
      <c r="F413" s="110"/>
    </row>
    <row r="414">
      <c r="E414" s="110"/>
      <c r="F414" s="110"/>
    </row>
    <row r="415">
      <c r="E415" s="110"/>
      <c r="F415" s="110"/>
    </row>
    <row r="416">
      <c r="E416" s="110"/>
      <c r="F416" s="110"/>
    </row>
    <row r="417">
      <c r="E417" s="110"/>
      <c r="F417" s="110"/>
    </row>
    <row r="418">
      <c r="E418" s="110"/>
      <c r="F418" s="110"/>
    </row>
    <row r="419">
      <c r="E419" s="110"/>
      <c r="F419" s="110"/>
    </row>
    <row r="420">
      <c r="E420" s="110"/>
      <c r="F420" s="110"/>
    </row>
    <row r="421">
      <c r="E421" s="110"/>
      <c r="F421" s="110"/>
    </row>
    <row r="422">
      <c r="E422" s="110"/>
      <c r="F422" s="110"/>
    </row>
    <row r="423">
      <c r="E423" s="110"/>
      <c r="F423" s="110"/>
    </row>
    <row r="424">
      <c r="E424" s="110"/>
      <c r="F424" s="110"/>
    </row>
    <row r="425">
      <c r="E425" s="110"/>
      <c r="F425" s="110"/>
    </row>
    <row r="426">
      <c r="E426" s="110"/>
      <c r="F426" s="110"/>
    </row>
    <row r="427">
      <c r="E427" s="110"/>
      <c r="F427" s="110"/>
    </row>
    <row r="428">
      <c r="E428" s="110"/>
      <c r="F428" s="110"/>
    </row>
    <row r="429">
      <c r="E429" s="110"/>
      <c r="F429" s="110"/>
    </row>
    <row r="430">
      <c r="E430" s="110"/>
      <c r="F430" s="110"/>
    </row>
    <row r="431">
      <c r="E431" s="110"/>
      <c r="F431" s="110"/>
    </row>
    <row r="432">
      <c r="E432" s="110"/>
      <c r="F432" s="110"/>
    </row>
    <row r="433">
      <c r="E433" s="110"/>
      <c r="F433" s="110"/>
    </row>
    <row r="434">
      <c r="E434" s="110"/>
      <c r="F434" s="110"/>
    </row>
    <row r="435">
      <c r="E435" s="110"/>
      <c r="F435" s="110"/>
    </row>
    <row r="436">
      <c r="E436" s="110"/>
      <c r="F436" s="110"/>
    </row>
    <row r="437">
      <c r="E437" s="110"/>
      <c r="F437" s="110"/>
    </row>
    <row r="438">
      <c r="E438" s="110"/>
      <c r="F438" s="110"/>
    </row>
    <row r="439">
      <c r="E439" s="110"/>
      <c r="F439" s="110"/>
    </row>
    <row r="440">
      <c r="E440" s="110"/>
      <c r="F440" s="110"/>
    </row>
    <row r="441">
      <c r="E441" s="110"/>
      <c r="F441" s="110"/>
    </row>
    <row r="442">
      <c r="E442" s="110"/>
      <c r="F442" s="110"/>
    </row>
    <row r="443">
      <c r="E443" s="110"/>
      <c r="F443" s="110"/>
    </row>
    <row r="444">
      <c r="E444" s="110"/>
      <c r="F444" s="110"/>
    </row>
    <row r="445">
      <c r="E445" s="110"/>
      <c r="F445" s="110"/>
    </row>
    <row r="446">
      <c r="E446" s="110"/>
      <c r="F446" s="110"/>
    </row>
    <row r="447">
      <c r="E447" s="110"/>
      <c r="F447" s="110"/>
    </row>
    <row r="448">
      <c r="E448" s="110"/>
      <c r="F448" s="110"/>
    </row>
    <row r="449">
      <c r="E449" s="110"/>
      <c r="F449" s="110"/>
    </row>
    <row r="450">
      <c r="E450" s="110"/>
      <c r="F450" s="110"/>
    </row>
    <row r="451">
      <c r="E451" s="110"/>
      <c r="F451" s="110"/>
    </row>
    <row r="452">
      <c r="E452" s="110"/>
      <c r="F452" s="110"/>
    </row>
    <row r="453">
      <c r="E453" s="110"/>
      <c r="F453" s="110"/>
    </row>
    <row r="454">
      <c r="E454" s="110"/>
      <c r="F454" s="110"/>
    </row>
    <row r="455">
      <c r="E455" s="110"/>
      <c r="F455" s="110"/>
    </row>
    <row r="456">
      <c r="E456" s="110"/>
      <c r="F456" s="110"/>
    </row>
    <row r="457">
      <c r="E457" s="110"/>
      <c r="F457" s="110"/>
    </row>
    <row r="458">
      <c r="E458" s="110"/>
      <c r="F458" s="110"/>
    </row>
    <row r="459">
      <c r="E459" s="110"/>
      <c r="F459" s="110"/>
    </row>
    <row r="460">
      <c r="E460" s="110"/>
      <c r="F460" s="110"/>
    </row>
    <row r="461">
      <c r="E461" s="110"/>
      <c r="F461" s="110"/>
    </row>
    <row r="462">
      <c r="E462" s="110"/>
      <c r="F462" s="110"/>
    </row>
    <row r="463">
      <c r="E463" s="110"/>
      <c r="F463" s="110"/>
    </row>
    <row r="464">
      <c r="E464" s="110"/>
      <c r="F464" s="110"/>
    </row>
    <row r="465">
      <c r="E465" s="110"/>
      <c r="F465" s="110"/>
    </row>
    <row r="466">
      <c r="E466" s="110"/>
      <c r="F466" s="110"/>
    </row>
    <row r="467">
      <c r="E467" s="110"/>
      <c r="F467" s="110"/>
    </row>
    <row r="468">
      <c r="E468" s="110"/>
      <c r="F468" s="110"/>
    </row>
    <row r="469">
      <c r="E469" s="110"/>
      <c r="F469" s="110"/>
    </row>
    <row r="470">
      <c r="E470" s="110"/>
      <c r="F470" s="110"/>
    </row>
    <row r="471">
      <c r="E471" s="110"/>
      <c r="F471" s="110"/>
    </row>
    <row r="472">
      <c r="E472" s="110"/>
      <c r="F472" s="110"/>
    </row>
    <row r="473">
      <c r="E473" s="110"/>
      <c r="F473" s="110"/>
    </row>
    <row r="474">
      <c r="E474" s="110"/>
      <c r="F474" s="110"/>
    </row>
    <row r="475">
      <c r="E475" s="110"/>
      <c r="F475" s="110"/>
    </row>
    <row r="476">
      <c r="E476" s="110"/>
      <c r="F476" s="110"/>
    </row>
    <row r="477">
      <c r="E477" s="110"/>
      <c r="F477" s="110"/>
    </row>
    <row r="478">
      <c r="E478" s="110"/>
      <c r="F478" s="110"/>
    </row>
    <row r="479">
      <c r="E479" s="110"/>
      <c r="F479" s="110"/>
    </row>
    <row r="480">
      <c r="E480" s="110"/>
      <c r="F480" s="110"/>
    </row>
    <row r="481">
      <c r="E481" s="110"/>
      <c r="F481" s="110"/>
    </row>
    <row r="482">
      <c r="E482" s="110"/>
      <c r="F482" s="110"/>
    </row>
    <row r="483">
      <c r="E483" s="110"/>
      <c r="F483" s="110"/>
    </row>
    <row r="484">
      <c r="E484" s="110"/>
      <c r="F484" s="110"/>
    </row>
    <row r="485">
      <c r="E485" s="110"/>
      <c r="F485" s="110"/>
    </row>
    <row r="486">
      <c r="E486" s="110"/>
      <c r="F486" s="110"/>
    </row>
    <row r="487">
      <c r="E487" s="110"/>
      <c r="F487" s="110"/>
    </row>
    <row r="488">
      <c r="E488" s="110"/>
      <c r="F488" s="110"/>
    </row>
    <row r="489">
      <c r="E489" s="110"/>
      <c r="F489" s="110"/>
    </row>
    <row r="490">
      <c r="E490" s="110"/>
      <c r="F490" s="110"/>
    </row>
    <row r="491">
      <c r="E491" s="110"/>
      <c r="F491" s="110"/>
    </row>
    <row r="492">
      <c r="E492" s="110"/>
      <c r="F492" s="110"/>
    </row>
    <row r="493">
      <c r="E493" s="110"/>
      <c r="F493" s="110"/>
    </row>
    <row r="494">
      <c r="E494" s="110"/>
      <c r="F494" s="110"/>
    </row>
    <row r="495">
      <c r="E495" s="110"/>
      <c r="F495" s="110"/>
    </row>
    <row r="496">
      <c r="E496" s="110"/>
      <c r="F496" s="110"/>
    </row>
    <row r="497">
      <c r="E497" s="110"/>
      <c r="F497" s="110"/>
    </row>
    <row r="498">
      <c r="E498" s="110"/>
      <c r="F498" s="110"/>
    </row>
    <row r="499">
      <c r="E499" s="110"/>
      <c r="F499" s="110"/>
    </row>
    <row r="500">
      <c r="E500" s="110"/>
      <c r="F500" s="110"/>
    </row>
    <row r="501">
      <c r="E501" s="110"/>
      <c r="F501" s="110"/>
    </row>
    <row r="502">
      <c r="E502" s="110"/>
      <c r="F502" s="110"/>
    </row>
    <row r="503">
      <c r="E503" s="110"/>
      <c r="F503" s="110"/>
    </row>
    <row r="504">
      <c r="E504" s="110"/>
      <c r="F504" s="110"/>
    </row>
    <row r="505">
      <c r="E505" s="110"/>
      <c r="F505" s="110"/>
    </row>
    <row r="506">
      <c r="E506" s="110"/>
      <c r="F506" s="110"/>
    </row>
    <row r="507">
      <c r="E507" s="110"/>
      <c r="F507" s="110"/>
    </row>
    <row r="508">
      <c r="E508" s="110"/>
      <c r="F508" s="110"/>
    </row>
    <row r="509">
      <c r="E509" s="110"/>
      <c r="F509" s="110"/>
    </row>
    <row r="510">
      <c r="E510" s="110"/>
      <c r="F510" s="110"/>
    </row>
    <row r="511">
      <c r="E511" s="110"/>
      <c r="F511" s="110"/>
    </row>
    <row r="512">
      <c r="E512" s="110"/>
      <c r="F512" s="110"/>
    </row>
    <row r="513">
      <c r="E513" s="110"/>
      <c r="F513" s="110"/>
    </row>
    <row r="514">
      <c r="E514" s="110"/>
      <c r="F514" s="110"/>
    </row>
    <row r="515">
      <c r="E515" s="110"/>
      <c r="F515" s="110"/>
    </row>
    <row r="516">
      <c r="E516" s="110"/>
      <c r="F516" s="110"/>
    </row>
    <row r="517">
      <c r="E517" s="110"/>
      <c r="F517" s="110"/>
    </row>
    <row r="518">
      <c r="E518" s="110"/>
      <c r="F518" s="110"/>
    </row>
    <row r="519">
      <c r="E519" s="110"/>
      <c r="F519" s="110"/>
    </row>
    <row r="520">
      <c r="E520" s="110"/>
      <c r="F520" s="110"/>
    </row>
    <row r="521">
      <c r="E521" s="110"/>
      <c r="F521" s="110"/>
    </row>
    <row r="522">
      <c r="E522" s="110"/>
      <c r="F522" s="110"/>
    </row>
    <row r="523">
      <c r="E523" s="110"/>
      <c r="F523" s="110"/>
    </row>
    <row r="524">
      <c r="E524" s="110"/>
      <c r="F524" s="110"/>
    </row>
    <row r="525">
      <c r="E525" s="110"/>
      <c r="F525" s="110"/>
    </row>
    <row r="526">
      <c r="E526" s="110"/>
      <c r="F526" s="110"/>
    </row>
    <row r="527">
      <c r="E527" s="110"/>
      <c r="F527" s="110"/>
    </row>
    <row r="528">
      <c r="E528" s="110"/>
      <c r="F528" s="110"/>
    </row>
    <row r="529">
      <c r="E529" s="110"/>
      <c r="F529" s="110"/>
    </row>
    <row r="530">
      <c r="E530" s="110"/>
      <c r="F530" s="110"/>
    </row>
    <row r="531">
      <c r="E531" s="110"/>
      <c r="F531" s="110"/>
    </row>
    <row r="532">
      <c r="E532" s="110"/>
      <c r="F532" s="110"/>
    </row>
    <row r="533">
      <c r="E533" s="110"/>
      <c r="F533" s="110"/>
    </row>
    <row r="534">
      <c r="E534" s="110"/>
      <c r="F534" s="110"/>
    </row>
    <row r="535">
      <c r="E535" s="110"/>
      <c r="F535" s="110"/>
    </row>
    <row r="536">
      <c r="E536" s="110"/>
      <c r="F536" s="110"/>
    </row>
    <row r="537">
      <c r="E537" s="110"/>
      <c r="F537" s="110"/>
    </row>
    <row r="538">
      <c r="E538" s="110"/>
      <c r="F538" s="110"/>
    </row>
    <row r="539">
      <c r="E539" s="110"/>
      <c r="F539" s="110"/>
    </row>
    <row r="540">
      <c r="E540" s="110"/>
      <c r="F540" s="110"/>
    </row>
    <row r="541">
      <c r="E541" s="110"/>
      <c r="F541" s="110"/>
    </row>
    <row r="542">
      <c r="E542" s="110"/>
      <c r="F542" s="110"/>
    </row>
    <row r="543">
      <c r="E543" s="110"/>
      <c r="F543" s="110"/>
    </row>
    <row r="544">
      <c r="E544" s="110"/>
      <c r="F544" s="110"/>
    </row>
    <row r="545">
      <c r="E545" s="110"/>
      <c r="F545" s="110"/>
    </row>
    <row r="546">
      <c r="E546" s="110"/>
      <c r="F546" s="110"/>
    </row>
    <row r="547">
      <c r="E547" s="110"/>
      <c r="F547" s="110"/>
    </row>
    <row r="548">
      <c r="E548" s="110"/>
      <c r="F548" s="110"/>
    </row>
    <row r="549">
      <c r="E549" s="110"/>
      <c r="F549" s="110"/>
    </row>
    <row r="550">
      <c r="E550" s="110"/>
      <c r="F550" s="110"/>
    </row>
    <row r="551">
      <c r="E551" s="110"/>
      <c r="F551" s="110"/>
    </row>
    <row r="552">
      <c r="E552" s="110"/>
      <c r="F552" s="110"/>
    </row>
    <row r="553">
      <c r="E553" s="110"/>
      <c r="F553" s="110"/>
    </row>
    <row r="554">
      <c r="E554" s="110"/>
      <c r="F554" s="110"/>
    </row>
    <row r="555">
      <c r="E555" s="110"/>
      <c r="F555" s="110"/>
    </row>
    <row r="556">
      <c r="E556" s="110"/>
      <c r="F556" s="110"/>
    </row>
    <row r="557">
      <c r="E557" s="110"/>
      <c r="F557" s="110"/>
    </row>
    <row r="558">
      <c r="E558" s="110"/>
      <c r="F558" s="110"/>
    </row>
    <row r="559">
      <c r="E559" s="110"/>
      <c r="F559" s="110"/>
    </row>
    <row r="560">
      <c r="E560" s="110"/>
      <c r="F560" s="110"/>
    </row>
    <row r="561">
      <c r="E561" s="110"/>
      <c r="F561" s="110"/>
    </row>
    <row r="562">
      <c r="E562" s="110"/>
      <c r="F562" s="110"/>
    </row>
    <row r="563">
      <c r="E563" s="110"/>
      <c r="F563" s="110"/>
    </row>
    <row r="564">
      <c r="E564" s="110"/>
      <c r="F564" s="110"/>
    </row>
    <row r="565">
      <c r="E565" s="110"/>
      <c r="F565" s="110"/>
    </row>
    <row r="566">
      <c r="E566" s="110"/>
      <c r="F566" s="110"/>
    </row>
    <row r="567">
      <c r="E567" s="110"/>
      <c r="F567" s="110"/>
    </row>
    <row r="568">
      <c r="E568" s="110"/>
      <c r="F568" s="110"/>
    </row>
    <row r="569">
      <c r="E569" s="110"/>
      <c r="F569" s="110"/>
    </row>
    <row r="570">
      <c r="E570" s="110"/>
      <c r="F570" s="110"/>
    </row>
    <row r="571">
      <c r="E571" s="110"/>
      <c r="F571" s="110"/>
    </row>
    <row r="572">
      <c r="E572" s="110"/>
      <c r="F572" s="110"/>
    </row>
    <row r="573">
      <c r="E573" s="110"/>
      <c r="F573" s="110"/>
    </row>
    <row r="574">
      <c r="E574" s="110"/>
      <c r="F574" s="110"/>
    </row>
    <row r="575">
      <c r="E575" s="110"/>
      <c r="F575" s="110"/>
    </row>
    <row r="576">
      <c r="E576" s="110"/>
      <c r="F576" s="110"/>
    </row>
    <row r="577">
      <c r="E577" s="110"/>
      <c r="F577" s="110"/>
    </row>
    <row r="578">
      <c r="E578" s="110"/>
      <c r="F578" s="110"/>
    </row>
    <row r="579">
      <c r="E579" s="110"/>
      <c r="F579" s="110"/>
    </row>
    <row r="580">
      <c r="E580" s="110"/>
      <c r="F580" s="110"/>
    </row>
    <row r="581">
      <c r="E581" s="110"/>
      <c r="F581" s="110"/>
    </row>
    <row r="582">
      <c r="E582" s="110"/>
      <c r="F582" s="110"/>
    </row>
    <row r="583">
      <c r="E583" s="110"/>
      <c r="F583" s="110"/>
    </row>
    <row r="584">
      <c r="E584" s="110"/>
      <c r="F584" s="110"/>
    </row>
    <row r="585">
      <c r="E585" s="110"/>
      <c r="F585" s="110"/>
    </row>
    <row r="586">
      <c r="E586" s="110"/>
      <c r="F586" s="110"/>
    </row>
    <row r="587">
      <c r="E587" s="110"/>
      <c r="F587" s="110"/>
    </row>
    <row r="588">
      <c r="E588" s="110"/>
      <c r="F588" s="110"/>
    </row>
    <row r="589">
      <c r="E589" s="110"/>
      <c r="F589" s="110"/>
    </row>
    <row r="590">
      <c r="E590" s="110"/>
      <c r="F590" s="110"/>
    </row>
    <row r="591">
      <c r="E591" s="110"/>
      <c r="F591" s="110"/>
    </row>
    <row r="592">
      <c r="E592" s="110"/>
      <c r="F592" s="110"/>
    </row>
    <row r="593">
      <c r="E593" s="110"/>
      <c r="F593" s="110"/>
    </row>
    <row r="594">
      <c r="E594" s="110"/>
      <c r="F594" s="110"/>
    </row>
    <row r="595">
      <c r="E595" s="110"/>
      <c r="F595" s="110"/>
    </row>
    <row r="596">
      <c r="E596" s="110"/>
      <c r="F596" s="110"/>
    </row>
    <row r="597">
      <c r="E597" s="110"/>
      <c r="F597" s="110"/>
    </row>
    <row r="598">
      <c r="E598" s="110"/>
      <c r="F598" s="110"/>
    </row>
    <row r="599">
      <c r="E599" s="110"/>
      <c r="F599" s="110"/>
    </row>
    <row r="600">
      <c r="E600" s="110"/>
      <c r="F600" s="110"/>
    </row>
    <row r="601">
      <c r="E601" s="110"/>
      <c r="F601" s="110"/>
    </row>
    <row r="602">
      <c r="E602" s="110"/>
      <c r="F602" s="110"/>
    </row>
    <row r="603">
      <c r="E603" s="110"/>
      <c r="F603" s="110"/>
    </row>
    <row r="604">
      <c r="E604" s="110"/>
      <c r="F604" s="110"/>
    </row>
    <row r="605">
      <c r="E605" s="110"/>
      <c r="F605" s="110"/>
    </row>
    <row r="606">
      <c r="E606" s="110"/>
      <c r="F606" s="110"/>
    </row>
    <row r="607">
      <c r="E607" s="110"/>
      <c r="F607" s="110"/>
    </row>
    <row r="608">
      <c r="E608" s="110"/>
      <c r="F608" s="110"/>
    </row>
    <row r="609">
      <c r="E609" s="110"/>
      <c r="F609" s="110"/>
    </row>
    <row r="610">
      <c r="E610" s="110"/>
      <c r="F610" s="110"/>
    </row>
    <row r="611">
      <c r="E611" s="110"/>
      <c r="F611" s="110"/>
    </row>
    <row r="612">
      <c r="E612" s="110"/>
      <c r="F612" s="110"/>
    </row>
    <row r="613">
      <c r="E613" s="110"/>
      <c r="F613" s="110"/>
    </row>
    <row r="614">
      <c r="E614" s="110"/>
      <c r="F614" s="110"/>
    </row>
    <row r="615">
      <c r="E615" s="110"/>
      <c r="F615" s="110"/>
    </row>
    <row r="616">
      <c r="E616" s="110"/>
      <c r="F616" s="110"/>
    </row>
    <row r="617">
      <c r="E617" s="110"/>
      <c r="F617" s="110"/>
    </row>
    <row r="618">
      <c r="E618" s="110"/>
      <c r="F618" s="110"/>
    </row>
    <row r="619">
      <c r="E619" s="110"/>
      <c r="F619" s="110"/>
    </row>
    <row r="620">
      <c r="E620" s="110"/>
      <c r="F620" s="110"/>
    </row>
    <row r="621">
      <c r="E621" s="110"/>
      <c r="F621" s="110"/>
    </row>
    <row r="622">
      <c r="E622" s="110"/>
      <c r="F622" s="110"/>
    </row>
    <row r="623">
      <c r="E623" s="110"/>
      <c r="F623" s="110"/>
    </row>
    <row r="624">
      <c r="E624" s="110"/>
      <c r="F624" s="110"/>
    </row>
    <row r="625">
      <c r="E625" s="110"/>
      <c r="F625" s="110"/>
    </row>
    <row r="626">
      <c r="E626" s="110"/>
      <c r="F626" s="110"/>
    </row>
    <row r="627">
      <c r="E627" s="110"/>
      <c r="F627" s="110"/>
    </row>
    <row r="628">
      <c r="E628" s="110"/>
      <c r="F628" s="110"/>
    </row>
    <row r="629">
      <c r="E629" s="110"/>
      <c r="F629" s="110"/>
    </row>
    <row r="630">
      <c r="E630" s="110"/>
      <c r="F630" s="110"/>
    </row>
    <row r="631">
      <c r="E631" s="110"/>
      <c r="F631" s="110"/>
    </row>
    <row r="632">
      <c r="E632" s="110"/>
      <c r="F632" s="110"/>
    </row>
    <row r="633">
      <c r="E633" s="110"/>
      <c r="F633" s="110"/>
    </row>
    <row r="634">
      <c r="E634" s="110"/>
      <c r="F634" s="110"/>
    </row>
    <row r="635">
      <c r="E635" s="110"/>
      <c r="F635" s="110"/>
    </row>
    <row r="636">
      <c r="E636" s="110"/>
      <c r="F636" s="110"/>
    </row>
    <row r="637">
      <c r="E637" s="110"/>
      <c r="F637" s="110"/>
    </row>
    <row r="638">
      <c r="E638" s="110"/>
      <c r="F638" s="110"/>
    </row>
    <row r="639">
      <c r="E639" s="110"/>
      <c r="F639" s="110"/>
    </row>
    <row r="640">
      <c r="E640" s="110"/>
      <c r="F640" s="110"/>
    </row>
    <row r="641">
      <c r="E641" s="110"/>
      <c r="F641" s="110"/>
    </row>
    <row r="642">
      <c r="E642" s="110"/>
      <c r="F642" s="110"/>
    </row>
    <row r="643">
      <c r="E643" s="110"/>
      <c r="F643" s="110"/>
    </row>
    <row r="644">
      <c r="E644" s="110"/>
      <c r="F644" s="110"/>
    </row>
    <row r="645">
      <c r="E645" s="110"/>
      <c r="F645" s="110"/>
    </row>
    <row r="646">
      <c r="E646" s="110"/>
      <c r="F646" s="110"/>
    </row>
    <row r="647">
      <c r="E647" s="110"/>
      <c r="F647" s="110"/>
    </row>
    <row r="648">
      <c r="E648" s="110"/>
      <c r="F648" s="110"/>
    </row>
    <row r="649">
      <c r="E649" s="110"/>
      <c r="F649" s="110"/>
    </row>
    <row r="650">
      <c r="E650" s="110"/>
      <c r="F650" s="110"/>
    </row>
    <row r="651">
      <c r="E651" s="110"/>
      <c r="F651" s="110"/>
    </row>
    <row r="652">
      <c r="E652" s="110"/>
      <c r="F652" s="110"/>
    </row>
    <row r="653">
      <c r="E653" s="110"/>
      <c r="F653" s="110"/>
    </row>
    <row r="654">
      <c r="E654" s="110"/>
      <c r="F654" s="110"/>
    </row>
    <row r="655">
      <c r="E655" s="110"/>
      <c r="F655" s="110"/>
    </row>
    <row r="656">
      <c r="E656" s="110"/>
      <c r="F656" s="110"/>
    </row>
    <row r="657">
      <c r="E657" s="110"/>
      <c r="F657" s="110"/>
    </row>
    <row r="658">
      <c r="E658" s="110"/>
      <c r="F658" s="110"/>
    </row>
    <row r="659">
      <c r="E659" s="110"/>
      <c r="F659" s="110"/>
    </row>
    <row r="660">
      <c r="E660" s="110"/>
      <c r="F660" s="110"/>
    </row>
    <row r="661">
      <c r="E661" s="110"/>
      <c r="F661" s="110"/>
    </row>
    <row r="662">
      <c r="E662" s="110"/>
      <c r="F662" s="110"/>
    </row>
    <row r="663">
      <c r="E663" s="110"/>
      <c r="F663" s="110"/>
    </row>
    <row r="664">
      <c r="E664" s="110"/>
      <c r="F664" s="110"/>
    </row>
    <row r="665">
      <c r="E665" s="110"/>
      <c r="F665" s="110"/>
    </row>
    <row r="666">
      <c r="E666" s="110"/>
      <c r="F666" s="110"/>
    </row>
    <row r="667">
      <c r="E667" s="110"/>
      <c r="F667" s="110"/>
    </row>
    <row r="668">
      <c r="E668" s="110"/>
      <c r="F668" s="110"/>
    </row>
    <row r="669">
      <c r="E669" s="110"/>
      <c r="F669" s="110"/>
    </row>
    <row r="670">
      <c r="E670" s="110"/>
      <c r="F670" s="110"/>
    </row>
    <row r="671">
      <c r="E671" s="110"/>
      <c r="F671" s="110"/>
    </row>
    <row r="672">
      <c r="E672" s="110"/>
      <c r="F672" s="110"/>
    </row>
    <row r="673">
      <c r="E673" s="110"/>
      <c r="F673" s="110"/>
    </row>
    <row r="674">
      <c r="E674" s="110"/>
      <c r="F674" s="110"/>
    </row>
    <row r="675">
      <c r="E675" s="110"/>
      <c r="F675" s="110"/>
    </row>
    <row r="676">
      <c r="E676" s="110"/>
      <c r="F676" s="110"/>
    </row>
    <row r="677">
      <c r="E677" s="110"/>
      <c r="F677" s="110"/>
    </row>
    <row r="678">
      <c r="E678" s="110"/>
      <c r="F678" s="110"/>
    </row>
    <row r="679">
      <c r="E679" s="110"/>
      <c r="F679" s="110"/>
    </row>
    <row r="680">
      <c r="E680" s="110"/>
      <c r="F680" s="110"/>
    </row>
    <row r="681">
      <c r="E681" s="110"/>
      <c r="F681" s="110"/>
    </row>
    <row r="682">
      <c r="E682" s="110"/>
      <c r="F682" s="110"/>
    </row>
    <row r="683">
      <c r="E683" s="110"/>
      <c r="F683" s="110"/>
    </row>
    <row r="684">
      <c r="E684" s="110"/>
      <c r="F684" s="110"/>
    </row>
    <row r="685">
      <c r="E685" s="110"/>
      <c r="F685" s="110"/>
    </row>
    <row r="686">
      <c r="E686" s="110"/>
      <c r="F686" s="110"/>
    </row>
    <row r="687">
      <c r="E687" s="110"/>
      <c r="F687" s="110"/>
    </row>
    <row r="688">
      <c r="E688" s="110"/>
      <c r="F688" s="110"/>
    </row>
    <row r="689">
      <c r="E689" s="110"/>
      <c r="F689" s="110"/>
    </row>
    <row r="690">
      <c r="E690" s="110"/>
      <c r="F690" s="110"/>
    </row>
    <row r="691">
      <c r="E691" s="110"/>
      <c r="F691" s="110"/>
    </row>
    <row r="692">
      <c r="E692" s="110"/>
      <c r="F692" s="110"/>
    </row>
    <row r="693">
      <c r="E693" s="110"/>
      <c r="F693" s="110"/>
    </row>
    <row r="694">
      <c r="E694" s="110"/>
      <c r="F694" s="110"/>
    </row>
    <row r="695">
      <c r="E695" s="110"/>
      <c r="F695" s="110"/>
    </row>
    <row r="696">
      <c r="E696" s="110"/>
      <c r="F696" s="110"/>
    </row>
    <row r="697">
      <c r="E697" s="110"/>
      <c r="F697" s="110"/>
    </row>
    <row r="698">
      <c r="E698" s="110"/>
      <c r="F698" s="110"/>
    </row>
    <row r="699">
      <c r="E699" s="110"/>
      <c r="F699" s="110"/>
    </row>
    <row r="700">
      <c r="E700" s="110"/>
      <c r="F700" s="110"/>
    </row>
    <row r="701">
      <c r="E701" s="110"/>
      <c r="F701" s="110"/>
    </row>
    <row r="702">
      <c r="E702" s="110"/>
      <c r="F702" s="110"/>
    </row>
    <row r="703">
      <c r="E703" s="110"/>
      <c r="F703" s="110"/>
    </row>
    <row r="704">
      <c r="E704" s="110"/>
      <c r="F704" s="110"/>
    </row>
    <row r="705">
      <c r="E705" s="110"/>
      <c r="F705" s="110"/>
    </row>
    <row r="706">
      <c r="E706" s="110"/>
      <c r="F706" s="110"/>
    </row>
    <row r="707">
      <c r="E707" s="110"/>
      <c r="F707" s="110"/>
    </row>
    <row r="708">
      <c r="E708" s="110"/>
      <c r="F708" s="110"/>
    </row>
    <row r="709">
      <c r="E709" s="110"/>
      <c r="F709" s="110"/>
    </row>
    <row r="710">
      <c r="E710" s="110"/>
      <c r="F710" s="110"/>
    </row>
    <row r="711">
      <c r="E711" s="110"/>
      <c r="F711" s="110"/>
    </row>
    <row r="712">
      <c r="E712" s="110"/>
      <c r="F712" s="110"/>
    </row>
    <row r="713">
      <c r="E713" s="110"/>
      <c r="F713" s="110"/>
    </row>
    <row r="714">
      <c r="E714" s="110"/>
      <c r="F714" s="110"/>
    </row>
    <row r="715">
      <c r="E715" s="110"/>
      <c r="F715" s="110"/>
    </row>
    <row r="716">
      <c r="E716" s="110"/>
      <c r="F716" s="110"/>
    </row>
    <row r="717">
      <c r="E717" s="110"/>
      <c r="F717" s="110"/>
    </row>
    <row r="718">
      <c r="E718" s="110"/>
      <c r="F718" s="110"/>
    </row>
    <row r="719">
      <c r="E719" s="110"/>
      <c r="F719" s="110"/>
    </row>
    <row r="720">
      <c r="E720" s="110"/>
      <c r="F720" s="110"/>
    </row>
    <row r="721">
      <c r="E721" s="110"/>
      <c r="F721" s="110"/>
    </row>
    <row r="722">
      <c r="E722" s="110"/>
      <c r="F722" s="110"/>
    </row>
    <row r="723">
      <c r="E723" s="110"/>
      <c r="F723" s="110"/>
    </row>
    <row r="724">
      <c r="E724" s="110"/>
      <c r="F724" s="110"/>
    </row>
    <row r="725">
      <c r="E725" s="110"/>
      <c r="F725" s="110"/>
    </row>
    <row r="726">
      <c r="E726" s="110"/>
      <c r="F726" s="110"/>
    </row>
    <row r="727">
      <c r="E727" s="110"/>
      <c r="F727" s="110"/>
    </row>
    <row r="728">
      <c r="E728" s="110"/>
      <c r="F728" s="110"/>
    </row>
    <row r="729">
      <c r="E729" s="110"/>
      <c r="F729" s="110"/>
    </row>
    <row r="730">
      <c r="E730" s="110"/>
      <c r="F730" s="110"/>
    </row>
    <row r="731">
      <c r="E731" s="110"/>
      <c r="F731" s="110"/>
    </row>
    <row r="732">
      <c r="E732" s="110"/>
      <c r="F732" s="110"/>
    </row>
    <row r="733">
      <c r="E733" s="110"/>
      <c r="F733" s="110"/>
    </row>
    <row r="734">
      <c r="E734" s="110"/>
      <c r="F734" s="110"/>
    </row>
    <row r="735">
      <c r="E735" s="110"/>
      <c r="F735" s="110"/>
    </row>
    <row r="736">
      <c r="E736" s="110"/>
      <c r="F736" s="110"/>
    </row>
    <row r="737">
      <c r="E737" s="110"/>
      <c r="F737" s="110"/>
    </row>
    <row r="738">
      <c r="E738" s="110"/>
      <c r="F738" s="110"/>
    </row>
    <row r="739">
      <c r="E739" s="110"/>
      <c r="F739" s="110"/>
    </row>
    <row r="740">
      <c r="E740" s="110"/>
      <c r="F740" s="110"/>
    </row>
    <row r="741">
      <c r="E741" s="110"/>
      <c r="F741" s="110"/>
    </row>
    <row r="742">
      <c r="E742" s="110"/>
      <c r="F742" s="110"/>
    </row>
    <row r="743">
      <c r="E743" s="110"/>
      <c r="F743" s="110"/>
    </row>
    <row r="744">
      <c r="E744" s="110"/>
      <c r="F744" s="110"/>
    </row>
    <row r="745">
      <c r="E745" s="110"/>
      <c r="F745" s="110"/>
    </row>
    <row r="746">
      <c r="E746" s="110"/>
      <c r="F746" s="110"/>
    </row>
    <row r="747">
      <c r="E747" s="110"/>
      <c r="F747" s="110"/>
    </row>
    <row r="748">
      <c r="E748" s="110"/>
      <c r="F748" s="110"/>
    </row>
    <row r="749">
      <c r="E749" s="110"/>
      <c r="F749" s="110"/>
    </row>
    <row r="750">
      <c r="E750" s="110"/>
      <c r="F750" s="110"/>
    </row>
    <row r="751">
      <c r="E751" s="110"/>
      <c r="F751" s="110"/>
    </row>
    <row r="752">
      <c r="E752" s="110"/>
      <c r="F752" s="110"/>
    </row>
    <row r="753">
      <c r="E753" s="110"/>
      <c r="F753" s="110"/>
    </row>
    <row r="754">
      <c r="E754" s="110"/>
      <c r="F754" s="110"/>
    </row>
    <row r="755">
      <c r="E755" s="110"/>
      <c r="F755" s="110"/>
    </row>
    <row r="756">
      <c r="E756" s="110"/>
      <c r="F756" s="110"/>
    </row>
    <row r="757">
      <c r="E757" s="110"/>
      <c r="F757" s="110"/>
    </row>
    <row r="758">
      <c r="E758" s="110"/>
      <c r="F758" s="110"/>
    </row>
    <row r="759">
      <c r="E759" s="110"/>
      <c r="F759" s="110"/>
    </row>
    <row r="760">
      <c r="E760" s="110"/>
      <c r="F760" s="110"/>
    </row>
    <row r="761">
      <c r="E761" s="110"/>
      <c r="F761" s="110"/>
    </row>
    <row r="762">
      <c r="E762" s="110"/>
      <c r="F762" s="110"/>
    </row>
    <row r="763">
      <c r="E763" s="110"/>
      <c r="F763" s="110"/>
    </row>
    <row r="764">
      <c r="E764" s="110"/>
      <c r="F764" s="110"/>
    </row>
    <row r="765">
      <c r="E765" s="110"/>
      <c r="F765" s="110"/>
    </row>
    <row r="766">
      <c r="E766" s="110"/>
      <c r="F766" s="110"/>
    </row>
    <row r="767">
      <c r="E767" s="110"/>
      <c r="F767" s="110"/>
    </row>
    <row r="768">
      <c r="E768" s="110"/>
      <c r="F768" s="110"/>
    </row>
    <row r="769">
      <c r="E769" s="110"/>
      <c r="F769" s="110"/>
    </row>
    <row r="770">
      <c r="E770" s="110"/>
      <c r="F770" s="110"/>
    </row>
    <row r="771">
      <c r="E771" s="110"/>
      <c r="F771" s="110"/>
    </row>
    <row r="772">
      <c r="E772" s="110"/>
      <c r="F772" s="110"/>
    </row>
    <row r="773">
      <c r="E773" s="110"/>
      <c r="F773" s="110"/>
    </row>
    <row r="774">
      <c r="E774" s="110"/>
      <c r="F774" s="110"/>
    </row>
    <row r="775">
      <c r="E775" s="110"/>
      <c r="F775" s="110"/>
    </row>
    <row r="776">
      <c r="E776" s="110"/>
      <c r="F776" s="110"/>
    </row>
    <row r="777">
      <c r="E777" s="110"/>
      <c r="F777" s="110"/>
    </row>
    <row r="778">
      <c r="E778" s="110"/>
      <c r="F778" s="110"/>
    </row>
    <row r="779">
      <c r="E779" s="110"/>
      <c r="F779" s="110"/>
    </row>
    <row r="780">
      <c r="E780" s="110"/>
      <c r="F780" s="110"/>
    </row>
    <row r="781">
      <c r="E781" s="110"/>
      <c r="F781" s="110"/>
    </row>
    <row r="782">
      <c r="E782" s="110"/>
      <c r="F782" s="110"/>
    </row>
    <row r="783">
      <c r="E783" s="110"/>
      <c r="F783" s="110"/>
    </row>
    <row r="784">
      <c r="E784" s="110"/>
      <c r="F784" s="110"/>
    </row>
    <row r="785">
      <c r="E785" s="110"/>
      <c r="F785" s="110"/>
    </row>
    <row r="786">
      <c r="E786" s="110"/>
      <c r="F786" s="110"/>
    </row>
    <row r="787">
      <c r="E787" s="110"/>
      <c r="F787" s="110"/>
    </row>
    <row r="788">
      <c r="E788" s="110"/>
      <c r="F788" s="110"/>
    </row>
    <row r="789">
      <c r="E789" s="110"/>
      <c r="F789" s="110"/>
    </row>
    <row r="790">
      <c r="E790" s="110"/>
      <c r="F790" s="110"/>
    </row>
    <row r="791">
      <c r="E791" s="110"/>
      <c r="F791" s="110"/>
    </row>
    <row r="792">
      <c r="E792" s="110"/>
      <c r="F792" s="110"/>
    </row>
    <row r="793">
      <c r="E793" s="110"/>
      <c r="F793" s="110"/>
    </row>
    <row r="794">
      <c r="E794" s="110"/>
      <c r="F794" s="110"/>
    </row>
    <row r="795">
      <c r="E795" s="110"/>
      <c r="F795" s="110"/>
    </row>
    <row r="796">
      <c r="E796" s="110"/>
      <c r="F796" s="110"/>
    </row>
    <row r="797">
      <c r="E797" s="110"/>
      <c r="F797" s="110"/>
    </row>
    <row r="798">
      <c r="E798" s="110"/>
      <c r="F798" s="110"/>
    </row>
    <row r="799">
      <c r="E799" s="110"/>
      <c r="F799" s="110"/>
    </row>
    <row r="800">
      <c r="E800" s="110"/>
      <c r="F800" s="110"/>
    </row>
    <row r="801">
      <c r="E801" s="110"/>
      <c r="F801" s="110"/>
    </row>
    <row r="802">
      <c r="E802" s="110"/>
      <c r="F802" s="110"/>
    </row>
    <row r="803">
      <c r="E803" s="110"/>
      <c r="F803" s="110"/>
    </row>
    <row r="804">
      <c r="E804" s="110"/>
      <c r="F804" s="110"/>
    </row>
    <row r="805">
      <c r="E805" s="110"/>
      <c r="F805" s="110"/>
    </row>
    <row r="806">
      <c r="E806" s="110"/>
      <c r="F806" s="110"/>
    </row>
    <row r="807">
      <c r="E807" s="110"/>
      <c r="F807" s="110"/>
    </row>
    <row r="808">
      <c r="E808" s="110"/>
      <c r="F808" s="110"/>
    </row>
    <row r="809">
      <c r="E809" s="110"/>
      <c r="F809" s="110"/>
    </row>
    <row r="810">
      <c r="E810" s="110"/>
      <c r="F810" s="110"/>
    </row>
    <row r="811">
      <c r="E811" s="110"/>
      <c r="F811" s="110"/>
    </row>
    <row r="812">
      <c r="E812" s="110"/>
      <c r="F812" s="110"/>
    </row>
    <row r="813">
      <c r="E813" s="110"/>
      <c r="F813" s="110"/>
    </row>
    <row r="814">
      <c r="E814" s="110"/>
      <c r="F814" s="110"/>
    </row>
    <row r="815">
      <c r="E815" s="110"/>
      <c r="F815" s="110"/>
    </row>
    <row r="816">
      <c r="E816" s="110"/>
      <c r="F816" s="110"/>
    </row>
    <row r="817">
      <c r="E817" s="110"/>
      <c r="F817" s="110"/>
    </row>
    <row r="818">
      <c r="E818" s="110"/>
      <c r="F818" s="110"/>
    </row>
    <row r="819">
      <c r="E819" s="110"/>
      <c r="F819" s="110"/>
    </row>
    <row r="820">
      <c r="E820" s="110"/>
      <c r="F820" s="110"/>
    </row>
    <row r="821">
      <c r="E821" s="110"/>
      <c r="F821" s="110"/>
    </row>
    <row r="822">
      <c r="E822" s="110"/>
      <c r="F822" s="110"/>
    </row>
    <row r="823">
      <c r="E823" s="110"/>
      <c r="F823" s="110"/>
    </row>
    <row r="824">
      <c r="E824" s="110"/>
      <c r="F824" s="110"/>
    </row>
    <row r="825">
      <c r="E825" s="110"/>
      <c r="F825" s="110"/>
    </row>
    <row r="826">
      <c r="E826" s="110"/>
      <c r="F826" s="110"/>
    </row>
    <row r="827">
      <c r="E827" s="110"/>
      <c r="F827" s="110"/>
    </row>
    <row r="828">
      <c r="E828" s="110"/>
      <c r="F828" s="110"/>
    </row>
    <row r="829">
      <c r="E829" s="110"/>
      <c r="F829" s="110"/>
    </row>
    <row r="830">
      <c r="E830" s="110"/>
      <c r="F830" s="110"/>
    </row>
    <row r="831">
      <c r="E831" s="110"/>
      <c r="F831" s="110"/>
    </row>
    <row r="832">
      <c r="E832" s="110"/>
      <c r="F832" s="110"/>
    </row>
    <row r="833">
      <c r="E833" s="110"/>
      <c r="F833" s="110"/>
    </row>
    <row r="834">
      <c r="E834" s="110"/>
      <c r="F834" s="110"/>
    </row>
    <row r="835">
      <c r="E835" s="110"/>
      <c r="F835" s="110"/>
    </row>
    <row r="836">
      <c r="E836" s="110"/>
      <c r="F836" s="110"/>
    </row>
    <row r="837">
      <c r="E837" s="110"/>
      <c r="F837" s="110"/>
    </row>
    <row r="838">
      <c r="E838" s="110"/>
      <c r="F838" s="110"/>
    </row>
    <row r="839">
      <c r="E839" s="110"/>
      <c r="F839" s="110"/>
    </row>
    <row r="840">
      <c r="E840" s="110"/>
      <c r="F840" s="110"/>
    </row>
    <row r="841">
      <c r="E841" s="110"/>
      <c r="F841" s="110"/>
    </row>
    <row r="842">
      <c r="E842" s="110"/>
      <c r="F842" s="110"/>
    </row>
    <row r="843">
      <c r="E843" s="110"/>
      <c r="F843" s="110"/>
    </row>
    <row r="844">
      <c r="E844" s="110"/>
      <c r="F844" s="110"/>
    </row>
    <row r="845">
      <c r="E845" s="110"/>
      <c r="F845" s="110"/>
    </row>
    <row r="846">
      <c r="E846" s="110"/>
      <c r="F846" s="110"/>
    </row>
    <row r="847">
      <c r="E847" s="110"/>
      <c r="F847" s="110"/>
    </row>
    <row r="848">
      <c r="E848" s="110"/>
      <c r="F848" s="110"/>
    </row>
    <row r="849">
      <c r="E849" s="110"/>
      <c r="F849" s="110"/>
    </row>
    <row r="850">
      <c r="E850" s="110"/>
      <c r="F850" s="110"/>
    </row>
    <row r="851">
      <c r="E851" s="110"/>
      <c r="F851" s="110"/>
    </row>
    <row r="852">
      <c r="E852" s="110"/>
      <c r="F852" s="110"/>
    </row>
    <row r="853">
      <c r="E853" s="110"/>
      <c r="F853" s="110"/>
    </row>
    <row r="854">
      <c r="E854" s="110"/>
      <c r="F854" s="110"/>
    </row>
    <row r="855">
      <c r="E855" s="110"/>
      <c r="F855" s="110"/>
    </row>
    <row r="856">
      <c r="E856" s="110"/>
      <c r="F856" s="110"/>
    </row>
    <row r="857">
      <c r="E857" s="110"/>
      <c r="F857" s="110"/>
    </row>
    <row r="858">
      <c r="E858" s="110"/>
      <c r="F858" s="110"/>
    </row>
    <row r="859">
      <c r="E859" s="110"/>
      <c r="F859" s="110"/>
    </row>
    <row r="860">
      <c r="E860" s="110"/>
      <c r="F860" s="110"/>
    </row>
    <row r="861">
      <c r="E861" s="110"/>
      <c r="F861" s="110"/>
    </row>
    <row r="862">
      <c r="E862" s="110"/>
      <c r="F862" s="110"/>
    </row>
    <row r="863">
      <c r="E863" s="110"/>
      <c r="F863" s="110"/>
    </row>
    <row r="864">
      <c r="E864" s="110"/>
      <c r="F864" s="110"/>
    </row>
    <row r="865">
      <c r="E865" s="110"/>
      <c r="F865" s="110"/>
    </row>
    <row r="866">
      <c r="E866" s="110"/>
      <c r="F866" s="110"/>
    </row>
    <row r="867">
      <c r="E867" s="110"/>
      <c r="F867" s="110"/>
    </row>
    <row r="868">
      <c r="E868" s="110"/>
      <c r="F868" s="110"/>
    </row>
    <row r="869">
      <c r="E869" s="110"/>
      <c r="F869" s="110"/>
    </row>
    <row r="870">
      <c r="E870" s="110"/>
      <c r="F870" s="110"/>
    </row>
    <row r="871">
      <c r="E871" s="110"/>
      <c r="F871" s="110"/>
    </row>
    <row r="872">
      <c r="E872" s="110"/>
      <c r="F872" s="110"/>
    </row>
    <row r="873">
      <c r="E873" s="110"/>
      <c r="F873" s="110"/>
    </row>
    <row r="874">
      <c r="E874" s="110"/>
      <c r="F874" s="110"/>
    </row>
    <row r="875">
      <c r="E875" s="110"/>
      <c r="F875" s="110"/>
    </row>
    <row r="876">
      <c r="E876" s="110"/>
      <c r="F876" s="110"/>
    </row>
    <row r="877">
      <c r="E877" s="110"/>
      <c r="F877" s="110"/>
    </row>
    <row r="878">
      <c r="E878" s="110"/>
      <c r="F878" s="110"/>
    </row>
    <row r="879">
      <c r="E879" s="110"/>
      <c r="F879" s="110"/>
    </row>
    <row r="880">
      <c r="E880" s="110"/>
      <c r="F880" s="110"/>
    </row>
    <row r="881">
      <c r="E881" s="110"/>
      <c r="F881" s="110"/>
    </row>
    <row r="882">
      <c r="E882" s="110"/>
      <c r="F882" s="110"/>
    </row>
    <row r="883">
      <c r="E883" s="110"/>
      <c r="F883" s="110"/>
    </row>
    <row r="884">
      <c r="E884" s="110"/>
      <c r="F884" s="110"/>
    </row>
    <row r="885">
      <c r="E885" s="110"/>
      <c r="F885" s="110"/>
    </row>
    <row r="886">
      <c r="E886" s="110"/>
      <c r="F886" s="110"/>
    </row>
    <row r="887">
      <c r="E887" s="110"/>
      <c r="F887" s="110"/>
    </row>
    <row r="888">
      <c r="E888" s="110"/>
      <c r="F888" s="110"/>
    </row>
    <row r="889">
      <c r="E889" s="110"/>
      <c r="F889" s="110"/>
    </row>
    <row r="890">
      <c r="E890" s="110"/>
      <c r="F890" s="110"/>
    </row>
    <row r="891">
      <c r="E891" s="110"/>
      <c r="F891" s="110"/>
    </row>
    <row r="892">
      <c r="E892" s="110"/>
      <c r="F892" s="110"/>
    </row>
    <row r="893">
      <c r="E893" s="110"/>
      <c r="F893" s="110"/>
    </row>
    <row r="894">
      <c r="E894" s="110"/>
      <c r="F894" s="110"/>
    </row>
    <row r="895">
      <c r="E895" s="110"/>
      <c r="F895" s="110"/>
    </row>
    <row r="896">
      <c r="E896" s="110"/>
      <c r="F896" s="110"/>
    </row>
    <row r="897">
      <c r="E897" s="110"/>
      <c r="F897" s="110"/>
    </row>
    <row r="898">
      <c r="E898" s="110"/>
      <c r="F898" s="110"/>
    </row>
    <row r="899">
      <c r="E899" s="110"/>
      <c r="F899" s="110"/>
    </row>
    <row r="900">
      <c r="E900" s="110"/>
      <c r="F900" s="110"/>
    </row>
    <row r="901">
      <c r="E901" s="110"/>
      <c r="F901" s="110"/>
    </row>
    <row r="902">
      <c r="E902" s="110"/>
      <c r="F902" s="110"/>
    </row>
    <row r="903">
      <c r="E903" s="110"/>
      <c r="F903" s="110"/>
    </row>
    <row r="904">
      <c r="E904" s="110"/>
      <c r="F904" s="110"/>
    </row>
    <row r="905">
      <c r="E905" s="110"/>
      <c r="F905" s="110"/>
    </row>
    <row r="906">
      <c r="E906" s="110"/>
      <c r="F906" s="110"/>
    </row>
    <row r="907">
      <c r="E907" s="110"/>
      <c r="F907" s="110"/>
    </row>
    <row r="908">
      <c r="E908" s="110"/>
      <c r="F908" s="110"/>
    </row>
    <row r="909">
      <c r="E909" s="110"/>
      <c r="F909" s="110"/>
    </row>
    <row r="910">
      <c r="E910" s="110"/>
      <c r="F910" s="110"/>
    </row>
    <row r="911">
      <c r="E911" s="110"/>
      <c r="F911" s="110"/>
    </row>
    <row r="912">
      <c r="E912" s="110"/>
      <c r="F912" s="110"/>
    </row>
    <row r="913">
      <c r="E913" s="110"/>
      <c r="F913" s="110"/>
    </row>
    <row r="914">
      <c r="E914" s="110"/>
      <c r="F914" s="110"/>
    </row>
    <row r="915">
      <c r="E915" s="110"/>
      <c r="F915" s="110"/>
    </row>
    <row r="916">
      <c r="E916" s="110"/>
      <c r="F916" s="110"/>
    </row>
    <row r="917">
      <c r="E917" s="110"/>
      <c r="F917" s="110"/>
    </row>
    <row r="918">
      <c r="E918" s="110"/>
      <c r="F918" s="110"/>
    </row>
    <row r="919">
      <c r="E919" s="110"/>
      <c r="F919" s="110"/>
    </row>
    <row r="920">
      <c r="E920" s="110"/>
      <c r="F920" s="110"/>
    </row>
    <row r="921">
      <c r="E921" s="110"/>
      <c r="F921" s="110"/>
    </row>
    <row r="922">
      <c r="E922" s="110"/>
      <c r="F922" s="110"/>
    </row>
    <row r="923">
      <c r="E923" s="110"/>
      <c r="F923" s="110"/>
    </row>
    <row r="924">
      <c r="E924" s="110"/>
      <c r="F924" s="110"/>
    </row>
    <row r="925">
      <c r="E925" s="110"/>
      <c r="F925" s="110"/>
    </row>
    <row r="926">
      <c r="E926" s="110"/>
      <c r="F926" s="110"/>
    </row>
    <row r="927">
      <c r="E927" s="110"/>
      <c r="F927" s="110"/>
    </row>
    <row r="928">
      <c r="E928" s="110"/>
      <c r="F928" s="110"/>
    </row>
    <row r="929">
      <c r="E929" s="110"/>
      <c r="F929" s="110"/>
    </row>
    <row r="930">
      <c r="E930" s="110"/>
      <c r="F930" s="110"/>
    </row>
    <row r="931">
      <c r="E931" s="110"/>
      <c r="F931" s="110"/>
    </row>
    <row r="932">
      <c r="E932" s="110"/>
      <c r="F932" s="110"/>
    </row>
    <row r="933">
      <c r="E933" s="110"/>
      <c r="F933" s="110"/>
    </row>
    <row r="934">
      <c r="E934" s="110"/>
      <c r="F934" s="110"/>
    </row>
    <row r="935">
      <c r="E935" s="110"/>
      <c r="F935" s="110"/>
    </row>
    <row r="936">
      <c r="E936" s="110"/>
      <c r="F936" s="110"/>
    </row>
    <row r="937">
      <c r="E937" s="110"/>
      <c r="F937" s="110"/>
    </row>
    <row r="938">
      <c r="E938" s="110"/>
      <c r="F938" s="110"/>
    </row>
    <row r="939">
      <c r="E939" s="110"/>
      <c r="F939" s="110"/>
    </row>
    <row r="940">
      <c r="E940" s="110"/>
      <c r="F940" s="110"/>
    </row>
    <row r="941">
      <c r="E941" s="110"/>
      <c r="F941" s="110"/>
    </row>
    <row r="942">
      <c r="E942" s="110"/>
      <c r="F942" s="110"/>
    </row>
    <row r="943">
      <c r="E943" s="110"/>
      <c r="F943" s="110"/>
    </row>
    <row r="944">
      <c r="E944" s="110"/>
      <c r="F944" s="110"/>
    </row>
    <row r="945">
      <c r="E945" s="110"/>
      <c r="F945" s="110"/>
    </row>
    <row r="946">
      <c r="E946" s="110"/>
      <c r="F946" s="110"/>
    </row>
    <row r="947">
      <c r="E947" s="110"/>
      <c r="F947" s="110"/>
    </row>
    <row r="948">
      <c r="E948" s="110"/>
      <c r="F948" s="110"/>
    </row>
    <row r="949">
      <c r="E949" s="110"/>
      <c r="F949" s="110"/>
    </row>
    <row r="950">
      <c r="E950" s="110"/>
      <c r="F950" s="110"/>
    </row>
    <row r="951">
      <c r="E951" s="110"/>
      <c r="F951" s="110"/>
    </row>
    <row r="952">
      <c r="E952" s="110"/>
      <c r="F952" s="110"/>
    </row>
    <row r="953">
      <c r="E953" s="110"/>
      <c r="F953" s="110"/>
    </row>
    <row r="954">
      <c r="E954" s="110"/>
      <c r="F954" s="110"/>
    </row>
    <row r="955">
      <c r="E955" s="110"/>
      <c r="F955" s="110"/>
    </row>
    <row r="956">
      <c r="E956" s="110"/>
      <c r="F956" s="110"/>
    </row>
    <row r="957">
      <c r="E957" s="110"/>
      <c r="F957" s="110"/>
    </row>
    <row r="958">
      <c r="E958" s="110"/>
      <c r="F958" s="110"/>
    </row>
    <row r="959">
      <c r="E959" s="110"/>
      <c r="F959" s="110"/>
    </row>
    <row r="960">
      <c r="E960" s="110"/>
      <c r="F960" s="110"/>
    </row>
    <row r="961">
      <c r="E961" s="110"/>
      <c r="F961" s="110"/>
    </row>
    <row r="962">
      <c r="E962" s="110"/>
      <c r="F962" s="110"/>
    </row>
    <row r="963">
      <c r="E963" s="110"/>
      <c r="F963" s="110"/>
    </row>
    <row r="964">
      <c r="E964" s="110"/>
      <c r="F964" s="110"/>
    </row>
    <row r="965">
      <c r="E965" s="110"/>
      <c r="F965" s="110"/>
    </row>
    <row r="966">
      <c r="E966" s="110"/>
      <c r="F966" s="110"/>
    </row>
    <row r="967">
      <c r="E967" s="110"/>
      <c r="F967" s="110"/>
    </row>
    <row r="968">
      <c r="E968" s="110"/>
      <c r="F968" s="110"/>
    </row>
    <row r="969">
      <c r="E969" s="110"/>
      <c r="F969" s="110"/>
    </row>
    <row r="970">
      <c r="E970" s="110"/>
      <c r="F970" s="110"/>
    </row>
    <row r="971">
      <c r="E971" s="110"/>
      <c r="F971" s="110"/>
    </row>
    <row r="972">
      <c r="E972" s="110"/>
      <c r="F972" s="110"/>
    </row>
    <row r="973">
      <c r="E973" s="110"/>
      <c r="F973" s="110"/>
    </row>
    <row r="974">
      <c r="E974" s="110"/>
      <c r="F974" s="110"/>
    </row>
    <row r="975">
      <c r="E975" s="110"/>
      <c r="F975" s="110"/>
    </row>
    <row r="976">
      <c r="E976" s="110"/>
      <c r="F976" s="110"/>
    </row>
    <row r="977">
      <c r="E977" s="110"/>
      <c r="F977" s="110"/>
    </row>
    <row r="978">
      <c r="E978" s="110"/>
      <c r="F978" s="110"/>
    </row>
    <row r="979">
      <c r="E979" s="110"/>
      <c r="F979" s="110"/>
    </row>
    <row r="980">
      <c r="E980" s="110"/>
      <c r="F980" s="110"/>
    </row>
    <row r="981">
      <c r="E981" s="110"/>
      <c r="F981" s="110"/>
    </row>
    <row r="982">
      <c r="E982" s="110"/>
      <c r="F982" s="110"/>
    </row>
    <row r="983">
      <c r="E983" s="110"/>
      <c r="F983" s="110"/>
    </row>
    <row r="984">
      <c r="E984" s="110"/>
      <c r="F984" s="110"/>
    </row>
    <row r="985">
      <c r="E985" s="110"/>
      <c r="F985" s="110"/>
    </row>
    <row r="986">
      <c r="E986" s="110"/>
      <c r="F986" s="110"/>
    </row>
    <row r="987">
      <c r="E987" s="110"/>
      <c r="F987" s="110"/>
    </row>
    <row r="988">
      <c r="E988" s="110"/>
      <c r="F988" s="110"/>
    </row>
    <row r="989">
      <c r="E989" s="110"/>
      <c r="F989" s="110"/>
    </row>
    <row r="990">
      <c r="E990" s="110"/>
      <c r="F990" s="110"/>
    </row>
    <row r="991">
      <c r="E991" s="110"/>
      <c r="F991" s="110"/>
    </row>
    <row r="992">
      <c r="E992" s="110"/>
      <c r="F992" s="110"/>
    </row>
    <row r="993">
      <c r="E993" s="110"/>
      <c r="F993" s="110"/>
    </row>
    <row r="994">
      <c r="E994" s="110"/>
      <c r="F994" s="110"/>
    </row>
    <row r="995">
      <c r="E995" s="110"/>
      <c r="F995" s="110"/>
    </row>
    <row r="996">
      <c r="E996" s="110"/>
      <c r="F996" s="110"/>
    </row>
    <row r="997">
      <c r="E997" s="110"/>
      <c r="F997" s="110"/>
    </row>
    <row r="998">
      <c r="E998" s="110"/>
      <c r="F998" s="110"/>
    </row>
  </sheetData>
  <hyperlinks>
    <hyperlink r:id="rId1" ref="B42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